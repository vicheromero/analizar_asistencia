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vicen\Documents\GitHub\analizar_asistencia\"/>
    </mc:Choice>
  </mc:AlternateContent>
  <xr:revisionPtr revIDLastSave="0" documentId="13_ncr:1_{4EE7CA56-8276-4691-A14B-7AC015F02C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rcaciones" sheetId="1" r:id="rId1"/>
    <sheet name="Marcaciones Reorganizadas" sheetId="4" r:id="rId2"/>
    <sheet name="Resumen de Asistencia" sheetId="3" r:id="rId3"/>
    <sheet name="Turnos" sheetId="5" r:id="rId4"/>
    <sheet name="Feriado" sheetId="6" r:id="rId5"/>
    <sheet name="Ausentismo" sheetId="7" r:id="rId6"/>
    <sheet name="PERSONAL" sheetId="8" r:id="rId7"/>
  </sheets>
  <definedNames>
    <definedName name="_xlnm._FilterDatabase" localSheetId="5" hidden="1">Ausentismo!$A$1:$G$4</definedName>
    <definedName name="_xlnm._FilterDatabase" localSheetId="6" hidden="1">PERSONAL!$A$2:$E$5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3" l="1"/>
  <c r="C4" i="3" s="1"/>
  <c r="B3" i="3"/>
  <c r="C3" i="3" s="1"/>
  <c r="B2" i="3"/>
  <c r="C2" i="3" s="1"/>
  <c r="I121" i="4"/>
  <c r="G121" i="4"/>
  <c r="D121" i="4"/>
  <c r="G120" i="4"/>
  <c r="D120" i="4"/>
  <c r="G119" i="4"/>
  <c r="D119" i="4"/>
  <c r="I118" i="4"/>
  <c r="G118" i="4"/>
  <c r="D118" i="4"/>
  <c r="I117" i="4"/>
  <c r="G117" i="4"/>
  <c r="D117" i="4"/>
  <c r="I116" i="4"/>
  <c r="G116" i="4"/>
  <c r="D116" i="4"/>
  <c r="I115" i="4"/>
  <c r="G115" i="4"/>
  <c r="D115" i="4"/>
  <c r="I114" i="4"/>
  <c r="G114" i="4"/>
  <c r="D114" i="4"/>
  <c r="G113" i="4"/>
  <c r="D113" i="4"/>
  <c r="G112" i="4"/>
  <c r="D112" i="4"/>
  <c r="I111" i="4"/>
  <c r="G111" i="4"/>
  <c r="D111" i="4"/>
  <c r="I110" i="4"/>
  <c r="G110" i="4"/>
  <c r="D110" i="4"/>
  <c r="I109" i="4"/>
  <c r="G109" i="4"/>
  <c r="D109" i="4"/>
  <c r="I108" i="4"/>
  <c r="G108" i="4"/>
  <c r="D108" i="4"/>
  <c r="I107" i="4"/>
  <c r="G107" i="4"/>
  <c r="D107" i="4"/>
  <c r="G106" i="4"/>
  <c r="D106" i="4"/>
  <c r="G105" i="4"/>
  <c r="D105" i="4"/>
  <c r="I104" i="4"/>
  <c r="G104" i="4"/>
  <c r="D104" i="4"/>
  <c r="I103" i="4"/>
  <c r="G103" i="4"/>
  <c r="D103" i="4"/>
  <c r="I102" i="4"/>
  <c r="G102" i="4"/>
  <c r="D102" i="4"/>
  <c r="I101" i="4"/>
  <c r="G101" i="4"/>
  <c r="D101" i="4"/>
  <c r="I100" i="4"/>
  <c r="G100" i="4"/>
  <c r="D100" i="4"/>
  <c r="G99" i="4"/>
  <c r="D99" i="4"/>
  <c r="G98" i="4"/>
  <c r="D98" i="4"/>
  <c r="I97" i="4"/>
  <c r="G97" i="4"/>
  <c r="D97" i="4"/>
  <c r="I96" i="4"/>
  <c r="G96" i="4"/>
  <c r="D96" i="4"/>
  <c r="I95" i="4"/>
  <c r="G95" i="4"/>
  <c r="D95" i="4"/>
  <c r="I94" i="4"/>
  <c r="G94" i="4"/>
  <c r="D94" i="4"/>
  <c r="I93" i="4"/>
  <c r="G93" i="4"/>
  <c r="D93" i="4"/>
  <c r="G92" i="4"/>
  <c r="D92" i="4"/>
  <c r="I91" i="4"/>
  <c r="G91" i="4"/>
  <c r="D91" i="4"/>
  <c r="I90" i="4"/>
  <c r="G90" i="4"/>
  <c r="D90" i="4"/>
  <c r="G89" i="4"/>
  <c r="D89" i="4"/>
  <c r="G88" i="4"/>
  <c r="D88" i="4"/>
  <c r="I87" i="4"/>
  <c r="G87" i="4"/>
  <c r="D87" i="4"/>
  <c r="I86" i="4"/>
  <c r="G86" i="4"/>
  <c r="D86" i="4"/>
  <c r="I85" i="4"/>
  <c r="G85" i="4"/>
  <c r="D85" i="4"/>
  <c r="I84" i="4"/>
  <c r="G84" i="4"/>
  <c r="D84" i="4"/>
  <c r="I83" i="4"/>
  <c r="G83" i="4"/>
  <c r="D83" i="4"/>
  <c r="G82" i="4"/>
  <c r="D82" i="4"/>
  <c r="G81" i="4"/>
  <c r="D81" i="4"/>
  <c r="I80" i="4"/>
  <c r="G80" i="4"/>
  <c r="D80" i="4"/>
  <c r="I79" i="4"/>
  <c r="G79" i="4"/>
  <c r="D79" i="4"/>
  <c r="I78" i="4"/>
  <c r="G78" i="4"/>
  <c r="D78" i="4"/>
  <c r="I77" i="4"/>
  <c r="G77" i="4"/>
  <c r="D77" i="4"/>
  <c r="I76" i="4"/>
  <c r="G76" i="4"/>
  <c r="D76" i="4"/>
  <c r="G75" i="4"/>
  <c r="D75" i="4"/>
  <c r="G74" i="4"/>
  <c r="D74" i="4"/>
  <c r="I73" i="4"/>
  <c r="G73" i="4"/>
  <c r="D73" i="4"/>
  <c r="I72" i="4"/>
  <c r="G72" i="4"/>
  <c r="D72" i="4"/>
  <c r="I71" i="4"/>
  <c r="G71" i="4"/>
  <c r="D71" i="4"/>
  <c r="I70" i="4"/>
  <c r="G70" i="4"/>
  <c r="D70" i="4"/>
  <c r="I69" i="4"/>
  <c r="G69" i="4"/>
  <c r="D69" i="4"/>
  <c r="G68" i="4"/>
  <c r="D68" i="4"/>
  <c r="G67" i="4"/>
  <c r="D67" i="4"/>
  <c r="I66" i="4"/>
  <c r="G66" i="4"/>
  <c r="D66" i="4"/>
  <c r="I65" i="4"/>
  <c r="G65" i="4"/>
  <c r="D65" i="4"/>
  <c r="I64" i="4"/>
  <c r="G64" i="4"/>
  <c r="D64" i="4"/>
  <c r="I63" i="4"/>
  <c r="G63" i="4"/>
  <c r="D63" i="4"/>
  <c r="I62" i="4"/>
  <c r="G62" i="4"/>
  <c r="D62" i="4"/>
  <c r="I61" i="4"/>
  <c r="G61" i="4"/>
  <c r="D61" i="4"/>
  <c r="G60" i="4"/>
  <c r="D60" i="4"/>
  <c r="G59" i="4"/>
  <c r="D59" i="4"/>
  <c r="I58" i="4"/>
  <c r="G58" i="4"/>
  <c r="D58" i="4"/>
  <c r="I57" i="4"/>
  <c r="G57" i="4"/>
  <c r="D57" i="4"/>
  <c r="I56" i="4"/>
  <c r="G56" i="4"/>
  <c r="D56" i="4"/>
  <c r="I55" i="4"/>
  <c r="G55" i="4"/>
  <c r="D55" i="4"/>
  <c r="I54" i="4"/>
  <c r="G54" i="4"/>
  <c r="D54" i="4"/>
  <c r="G53" i="4"/>
  <c r="D53" i="4"/>
  <c r="G52" i="4"/>
  <c r="D52" i="4"/>
  <c r="I51" i="4"/>
  <c r="G51" i="4"/>
  <c r="D51" i="4"/>
  <c r="I50" i="4"/>
  <c r="G50" i="4"/>
  <c r="D50" i="4"/>
  <c r="I49" i="4"/>
  <c r="G49" i="4"/>
  <c r="D49" i="4"/>
  <c r="I48" i="4"/>
  <c r="G48" i="4"/>
  <c r="D48" i="4"/>
  <c r="I47" i="4"/>
  <c r="G47" i="4"/>
  <c r="D47" i="4"/>
  <c r="G46" i="4"/>
  <c r="D46" i="4"/>
  <c r="G45" i="4"/>
  <c r="D45" i="4"/>
  <c r="I44" i="4"/>
  <c r="G44" i="4"/>
  <c r="D44" i="4"/>
  <c r="I43" i="4"/>
  <c r="G43" i="4"/>
  <c r="D43" i="4"/>
  <c r="I42" i="4"/>
  <c r="G42" i="4"/>
  <c r="D42" i="4"/>
  <c r="I41" i="4"/>
  <c r="G41" i="4"/>
  <c r="D41" i="4"/>
  <c r="I40" i="4"/>
  <c r="G40" i="4"/>
  <c r="D40" i="4"/>
  <c r="G39" i="4"/>
  <c r="D39" i="4"/>
  <c r="G38" i="4"/>
  <c r="D38" i="4"/>
  <c r="I37" i="4"/>
  <c r="G37" i="4"/>
  <c r="D37" i="4"/>
  <c r="I36" i="4"/>
  <c r="G36" i="4"/>
  <c r="D36" i="4"/>
  <c r="I35" i="4"/>
  <c r="G35" i="4"/>
  <c r="D35" i="4"/>
  <c r="I34" i="4"/>
  <c r="G34" i="4"/>
  <c r="D34" i="4"/>
  <c r="I33" i="4"/>
  <c r="G33" i="4"/>
  <c r="D33" i="4"/>
  <c r="G32" i="4"/>
  <c r="D32" i="4"/>
  <c r="I31" i="4"/>
  <c r="G31" i="4"/>
  <c r="D31" i="4"/>
  <c r="I30" i="4"/>
  <c r="G30" i="4"/>
  <c r="D30" i="4"/>
  <c r="G29" i="4"/>
  <c r="D29" i="4"/>
  <c r="G28" i="4"/>
  <c r="D28" i="4"/>
  <c r="I27" i="4"/>
  <c r="G27" i="4"/>
  <c r="D27" i="4"/>
  <c r="I26" i="4"/>
  <c r="G26" i="4"/>
  <c r="D26" i="4"/>
  <c r="I25" i="4"/>
  <c r="G25" i="4"/>
  <c r="D25" i="4"/>
  <c r="I24" i="4"/>
  <c r="G24" i="4"/>
  <c r="D24" i="4"/>
  <c r="I23" i="4"/>
  <c r="G23" i="4"/>
  <c r="D23" i="4"/>
  <c r="G22" i="4"/>
  <c r="D22" i="4"/>
  <c r="G21" i="4"/>
  <c r="D21" i="4"/>
  <c r="I20" i="4"/>
  <c r="G20" i="4"/>
  <c r="D20" i="4"/>
  <c r="I19" i="4"/>
  <c r="G19" i="4"/>
  <c r="D19" i="4"/>
  <c r="I18" i="4"/>
  <c r="G18" i="4"/>
  <c r="D18" i="4"/>
  <c r="I17" i="4"/>
  <c r="G17" i="4"/>
  <c r="D17" i="4"/>
  <c r="I16" i="4"/>
  <c r="G16" i="4"/>
  <c r="D16" i="4"/>
  <c r="G15" i="4"/>
  <c r="D15" i="4"/>
  <c r="G14" i="4"/>
  <c r="D14" i="4"/>
  <c r="I13" i="4"/>
  <c r="G13" i="4"/>
  <c r="D13" i="4"/>
  <c r="I12" i="4"/>
  <c r="G12" i="4"/>
  <c r="D12" i="4"/>
  <c r="I11" i="4"/>
  <c r="G11" i="4"/>
  <c r="D11" i="4"/>
  <c r="I10" i="4"/>
  <c r="G10" i="4"/>
  <c r="D10" i="4"/>
  <c r="I9" i="4"/>
  <c r="G9" i="4"/>
  <c r="D9" i="4"/>
  <c r="G8" i="4"/>
  <c r="D8" i="4"/>
  <c r="G7" i="4"/>
  <c r="D7" i="4"/>
  <c r="I6" i="4"/>
  <c r="G6" i="4"/>
  <c r="D6" i="4"/>
  <c r="I5" i="4"/>
  <c r="G5" i="4"/>
  <c r="D5" i="4"/>
  <c r="I4" i="4"/>
  <c r="G4" i="4"/>
  <c r="D4" i="4"/>
  <c r="I3" i="4"/>
  <c r="G3" i="4"/>
  <c r="D3" i="4"/>
  <c r="I2" i="4"/>
  <c r="G2" i="4"/>
  <c r="D2" i="4"/>
</calcChain>
</file>

<file path=xl/sharedStrings.xml><?xml version="1.0" encoding="utf-8"?>
<sst xmlns="http://schemas.openxmlformats.org/spreadsheetml/2006/main" count="813" uniqueCount="58">
  <si>
    <t>Codigo</t>
  </si>
  <si>
    <t>Nombre y Apellido</t>
  </si>
  <si>
    <t>Cedula</t>
  </si>
  <si>
    <t>Funcion</t>
  </si>
  <si>
    <t>Tipo de Registro</t>
  </si>
  <si>
    <t>Fecha</t>
  </si>
  <si>
    <t>Hora</t>
  </si>
  <si>
    <t>TECNICO1</t>
  </si>
  <si>
    <t>TECNICO</t>
  </si>
  <si>
    <t>Ingreso</t>
  </si>
  <si>
    <t>Fin descanso</t>
  </si>
  <si>
    <t>Salida</t>
  </si>
  <si>
    <t>Inicio descanso</t>
  </si>
  <si>
    <t>TECNICO2</t>
  </si>
  <si>
    <t>TECNICO3</t>
  </si>
  <si>
    <t>Atraso</t>
  </si>
  <si>
    <t>T. Almuerzo</t>
  </si>
  <si>
    <t>Día laborado</t>
  </si>
  <si>
    <t>Falta marcación</t>
  </si>
  <si>
    <t>Días asistidos</t>
  </si>
  <si>
    <t>Calculo minutos (días*8*60*0.8)</t>
  </si>
  <si>
    <t>marcacion1</t>
  </si>
  <si>
    <t>marcacion2</t>
  </si>
  <si>
    <t>marcacion3</t>
  </si>
  <si>
    <t>marcacion4</t>
  </si>
  <si>
    <t>Horas extras</t>
  </si>
  <si>
    <t>Día de descanso</t>
  </si>
  <si>
    <t>Permiso</t>
  </si>
  <si>
    <t>TECNICO4</t>
  </si>
  <si>
    <t>Lunes</t>
  </si>
  <si>
    <t>Martes</t>
  </si>
  <si>
    <t>Miércoles</t>
  </si>
  <si>
    <t>Jueves</t>
  </si>
  <si>
    <t>Viernes</t>
  </si>
  <si>
    <t>Sábado</t>
  </si>
  <si>
    <t>Domingo</t>
  </si>
  <si>
    <t>Fecha feriado (dd/mm/aaaa)</t>
  </si>
  <si>
    <t>Núm. Personal</t>
  </si>
  <si>
    <t>Nombre Empleado</t>
  </si>
  <si>
    <t>Inicio de validez</t>
  </si>
  <si>
    <t>Fin de validez</t>
  </si>
  <si>
    <t>Clase de absentismo</t>
  </si>
  <si>
    <t>Txt.cl absen.</t>
  </si>
  <si>
    <t>Días de absentismo</t>
  </si>
  <si>
    <t>Vacaciones</t>
  </si>
  <si>
    <t>7,00</t>
  </si>
  <si>
    <t>Permiso No Remunerado</t>
  </si>
  <si>
    <t>2,00</t>
  </si>
  <si>
    <t>1,00</t>
  </si>
  <si>
    <t>N</t>
  </si>
  <si>
    <t>APELLIDOS Y NOMBRES</t>
  </si>
  <si>
    <t>CEDULA</t>
  </si>
  <si>
    <t>CARGO</t>
  </si>
  <si>
    <t>CORREOS</t>
  </si>
  <si>
    <t>Técnico Integral</t>
  </si>
  <si>
    <t>tecnico1@correo.com</t>
  </si>
  <si>
    <t>tecnico2@correo.com</t>
  </si>
  <si>
    <t>tecnico3@correo.com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</si>
</sst>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hh:mm:ss"/>
  </numFmts>
  <fonts count="15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scheme val="minor"/>
    </font>
    <font>
      <sz val="11"/>
      <color rgb="FFFFFFFF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Arial"/>
    </font>
    <font>
      <sz val="11"/>
      <color rgb="FF000000"/>
      <name val="Arial"/>
    </font>
    <font>
      <u/>
      <sz val="11"/>
      <color theme="10"/>
      <name val="Calibri"/>
      <scheme val="minor"/>
    </font>
    <font>
      <b/>
      <sz val="10"/>
      <color theme="1"/>
      <name val="Calibri"/>
    </font>
    <font>
      <b/>
      <sz val="10"/>
      <color rgb="FF000000"/>
      <name val="Calibri"/>
    </font>
    <font>
      <sz val="8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8AA"/>
        <bgColor rgb="FF0078AA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6400"/>
        <bgColor rgb="FF006400"/>
      </patternFill>
    </fill>
    <fill>
      <patternFill patternType="solid">
        <fgColor rgb="FFFFA500"/>
        <bgColor rgb="FFFFA500"/>
      </patternFill>
    </fill>
    <fill>
      <patternFill patternType="solid">
        <fgColor rgb="FF0066CC"/>
        <bgColor rgb="FF0066CC"/>
      </patternFill>
    </fill>
    <fill>
      <patternFill patternType="solid">
        <fgColor rgb="FFC0C0C0"/>
        <bgColor rgb="FFC0C0C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right" vertical="center" wrapText="1"/>
    </xf>
    <xf numFmtId="0" fontId="2" fillId="0" borderId="4" xfId="0" applyFont="1" applyBorder="1" applyAlignment="1">
      <alignment vertical="center" wrapText="1"/>
    </xf>
    <xf numFmtId="0" fontId="2" fillId="0" borderId="4" xfId="0" applyFont="1" applyBorder="1" applyAlignment="1">
      <alignment horizontal="right" vertical="center" wrapText="1"/>
    </xf>
    <xf numFmtId="14" fontId="2" fillId="0" borderId="4" xfId="0" applyNumberFormat="1" applyFont="1" applyBorder="1" applyAlignment="1">
      <alignment horizontal="right" vertical="center" wrapText="1"/>
    </xf>
    <xf numFmtId="21" fontId="2" fillId="0" borderId="4" xfId="0" applyNumberFormat="1" applyFont="1" applyBorder="1" applyAlignment="1">
      <alignment horizontal="right" vertical="center" wrapText="1"/>
    </xf>
    <xf numFmtId="0" fontId="3" fillId="0" borderId="0" xfId="0" applyFont="1"/>
    <xf numFmtId="0" fontId="4" fillId="0" borderId="0" xfId="0" applyFont="1"/>
    <xf numFmtId="164" fontId="5" fillId="5" borderId="0" xfId="0" applyNumberFormat="1" applyFont="1" applyFill="1"/>
    <xf numFmtId="165" fontId="5" fillId="5" borderId="0" xfId="0" applyNumberFormat="1" applyFont="1" applyFill="1"/>
    <xf numFmtId="165" fontId="5" fillId="3" borderId="0" xfId="0" applyNumberFormat="1" applyFont="1" applyFill="1"/>
    <xf numFmtId="165" fontId="6" fillId="6" borderId="0" xfId="0" applyNumberFormat="1" applyFont="1" applyFill="1"/>
    <xf numFmtId="165" fontId="5" fillId="7" borderId="0" xfId="0" applyNumberFormat="1" applyFont="1" applyFill="1"/>
    <xf numFmtId="165" fontId="6" fillId="8" borderId="0" xfId="0" applyNumberFormat="1" applyFont="1" applyFill="1"/>
    <xf numFmtId="165" fontId="5" fillId="4" borderId="0" xfId="0" applyNumberFormat="1" applyFont="1" applyFill="1"/>
    <xf numFmtId="0" fontId="3" fillId="0" borderId="0" xfId="0" applyFont="1" applyBorder="1"/>
    <xf numFmtId="0" fontId="2" fillId="0" borderId="0" xfId="0" applyFont="1" applyBorder="1" applyAlignment="1">
      <alignment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7" fillId="0" borderId="5" xfId="0" applyFont="1" applyBorder="1"/>
    <xf numFmtId="0" fontId="8" fillId="0" borderId="5" xfId="0" applyFont="1" applyBorder="1"/>
    <xf numFmtId="164" fontId="7" fillId="0" borderId="5" xfId="0" applyNumberFormat="1" applyFont="1" applyBorder="1"/>
    <xf numFmtId="0" fontId="9" fillId="9" borderId="0" xfId="0" applyFont="1" applyFill="1" applyAlignment="1">
      <alignment vertical="top"/>
    </xf>
    <xf numFmtId="0" fontId="10" fillId="9" borderId="0" xfId="0" applyFont="1" applyFill="1" applyAlignment="1">
      <alignment vertical="top"/>
    </xf>
    <xf numFmtId="0" fontId="9" fillId="5" borderId="0" xfId="0" applyFont="1" applyFill="1" applyAlignment="1">
      <alignment vertical="top"/>
    </xf>
    <xf numFmtId="14" fontId="9" fillId="5" borderId="0" xfId="0" applyNumberFormat="1" applyFont="1" applyFill="1" applyAlignment="1">
      <alignment horizontal="right" vertical="top"/>
    </xf>
    <xf numFmtId="4" fontId="9" fillId="5" borderId="0" xfId="0" applyNumberFormat="1" applyFont="1" applyFill="1" applyAlignment="1">
      <alignment horizontal="right" vertical="top"/>
    </xf>
    <xf numFmtId="0" fontId="7" fillId="0" borderId="0" xfId="0" applyFont="1"/>
    <xf numFmtId="0" fontId="12" fillId="0" borderId="5" xfId="0" applyFont="1" applyBorder="1" applyAlignment="1">
      <alignment horizont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2" fillId="0" borderId="5" xfId="0" applyFont="1" applyBorder="1" applyAlignment="1">
      <alignment vertical="center"/>
    </xf>
    <xf numFmtId="0" fontId="11" fillId="0" borderId="5" xfId="1" applyBorder="1" applyAlignment="1">
      <alignment vertical="center"/>
    </xf>
  </cellXfs>
  <cellStyles count="2">
    <cellStyle name="Hipervínculo" xfId="1" builtinId="8"/>
    <cellStyle name="Normal" xfId="0" builtinId="0"/>
  </cellStyles>
  <dxfs count="10">
    <dxf>
      <fill>
        <patternFill patternType="solid">
          <fgColor rgb="FFD3D3D3"/>
          <bgColor rgb="FFD3D3D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800080"/>
          <bgColor rgb="FF800080"/>
        </patternFill>
      </fill>
    </dxf>
    <dxf>
      <font>
        <color rgb="FFFFFFFF"/>
      </font>
      <fill>
        <patternFill patternType="solid">
          <fgColor rgb="FF0066CC"/>
          <bgColor rgb="FF0066CC"/>
        </patternFill>
      </fill>
    </dxf>
    <dxf>
      <font>
        <color rgb="FFFFFFFF"/>
      </font>
      <fill>
        <patternFill patternType="solid">
          <fgColor rgb="FF006400"/>
          <bgColor rgb="FF0064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tecnico2@correo.com" TargetMode="External"/><Relationship Id="rId2" Type="http://schemas.openxmlformats.org/officeDocument/2006/relationships/hyperlink" Target="mailto:tecnico1@correo.com" TargetMode="External"/><Relationship Id="rId1" Type="http://schemas.openxmlformats.org/officeDocument/2006/relationships/hyperlink" Target="mailto:tecnico1@correo.com" TargetMode="External"/><Relationship Id="rId4" Type="http://schemas.openxmlformats.org/officeDocument/2006/relationships/hyperlink" Target="mailto:tecnico3@corre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5"/>
  <sheetViews>
    <sheetView tabSelected="1" workbookViewId="0">
      <selection activeCell="B2" sqref="B2"/>
    </sheetView>
  </sheetViews>
  <sheetFormatPr baseColWidth="10" defaultColWidth="14.44140625" defaultRowHeight="15" customHeight="1" x14ac:dyDescent="0.3"/>
  <cols>
    <col min="1" max="1" width="10.6640625" customWidth="1"/>
    <col min="2" max="2" width="27.33203125" customWidth="1"/>
    <col min="3" max="3" width="14.44140625" customWidth="1"/>
    <col min="4" max="26" width="10.6640625" customWidth="1"/>
  </cols>
  <sheetData>
    <row r="1" spans="1:7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14.25" customHeight="1" x14ac:dyDescent="0.3">
      <c r="A2" s="3">
        <v>1234</v>
      </c>
      <c r="B2" s="4" t="s">
        <v>7</v>
      </c>
      <c r="C2" s="5">
        <v>1234567890</v>
      </c>
      <c r="D2" s="4" t="s">
        <v>8</v>
      </c>
      <c r="E2" s="4" t="s">
        <v>9</v>
      </c>
      <c r="F2" s="6">
        <v>45721</v>
      </c>
      <c r="G2" s="7">
        <v>0.3311574074074074</v>
      </c>
    </row>
    <row r="3" spans="1:7" ht="14.25" customHeight="1" x14ac:dyDescent="0.3">
      <c r="A3" s="3">
        <v>1234</v>
      </c>
      <c r="B3" s="4" t="s">
        <v>7</v>
      </c>
      <c r="C3" s="5">
        <v>1234567890</v>
      </c>
      <c r="D3" s="4" t="s">
        <v>8</v>
      </c>
      <c r="E3" s="4" t="s">
        <v>10</v>
      </c>
      <c r="F3" s="6">
        <v>45721</v>
      </c>
      <c r="G3" s="7">
        <v>0.72064814814814815</v>
      </c>
    </row>
    <row r="4" spans="1:7" ht="14.25" customHeight="1" x14ac:dyDescent="0.3">
      <c r="A4" s="3">
        <v>1234</v>
      </c>
      <c r="B4" s="4" t="s">
        <v>7</v>
      </c>
      <c r="C4" s="5">
        <v>1234567890</v>
      </c>
      <c r="D4" s="4" t="s">
        <v>8</v>
      </c>
      <c r="E4" s="4" t="s">
        <v>9</v>
      </c>
      <c r="F4" s="6">
        <v>45722</v>
      </c>
      <c r="G4" s="7">
        <v>0.33775462962962965</v>
      </c>
    </row>
    <row r="5" spans="1:7" ht="14.25" customHeight="1" x14ac:dyDescent="0.3">
      <c r="A5" s="3">
        <v>1234</v>
      </c>
      <c r="B5" s="4" t="s">
        <v>7</v>
      </c>
      <c r="C5" s="5">
        <v>1234567890</v>
      </c>
      <c r="D5" s="4" t="s">
        <v>8</v>
      </c>
      <c r="E5" s="4" t="s">
        <v>10</v>
      </c>
      <c r="F5" s="6">
        <v>45722</v>
      </c>
      <c r="G5" s="7">
        <v>0.73605324074074074</v>
      </c>
    </row>
    <row r="6" spans="1:7" ht="14.25" customHeight="1" x14ac:dyDescent="0.3">
      <c r="A6" s="3">
        <v>1234</v>
      </c>
      <c r="B6" s="4" t="s">
        <v>7</v>
      </c>
      <c r="C6" s="5">
        <v>1234567890</v>
      </c>
      <c r="D6" s="4" t="s">
        <v>8</v>
      </c>
      <c r="E6" s="4" t="s">
        <v>9</v>
      </c>
      <c r="F6" s="6">
        <v>45723</v>
      </c>
      <c r="G6" s="7">
        <v>0.32331018518518517</v>
      </c>
    </row>
    <row r="7" spans="1:7" ht="14.25" customHeight="1" x14ac:dyDescent="0.3">
      <c r="A7" s="3">
        <v>1234</v>
      </c>
      <c r="B7" s="4" t="s">
        <v>7</v>
      </c>
      <c r="C7" s="5">
        <v>1234567890</v>
      </c>
      <c r="D7" s="4" t="s">
        <v>8</v>
      </c>
      <c r="E7" s="4" t="s">
        <v>10</v>
      </c>
      <c r="F7" s="6">
        <v>45723</v>
      </c>
      <c r="G7" s="7">
        <v>0.75057870370370372</v>
      </c>
    </row>
    <row r="8" spans="1:7" ht="14.25" customHeight="1" x14ac:dyDescent="0.3">
      <c r="A8" s="3">
        <v>1234</v>
      </c>
      <c r="B8" s="4" t="s">
        <v>7</v>
      </c>
      <c r="C8" s="5">
        <v>1234567890</v>
      </c>
      <c r="D8" s="4" t="s">
        <v>8</v>
      </c>
      <c r="E8" s="4" t="s">
        <v>9</v>
      </c>
      <c r="F8" s="6">
        <v>45727</v>
      </c>
      <c r="G8" s="7">
        <v>0.31836805555555553</v>
      </c>
    </row>
    <row r="9" spans="1:7" ht="14.25" customHeight="1" x14ac:dyDescent="0.3">
      <c r="A9" s="3">
        <v>1234</v>
      </c>
      <c r="B9" s="4" t="s">
        <v>7</v>
      </c>
      <c r="C9" s="5">
        <v>1234567890</v>
      </c>
      <c r="D9" s="4" t="s">
        <v>8</v>
      </c>
      <c r="E9" s="4" t="s">
        <v>11</v>
      </c>
      <c r="F9" s="6">
        <v>45727</v>
      </c>
      <c r="G9" s="7">
        <v>0.54771990740740739</v>
      </c>
    </row>
    <row r="10" spans="1:7" ht="14.25" customHeight="1" x14ac:dyDescent="0.3">
      <c r="A10" s="3">
        <v>1234</v>
      </c>
      <c r="B10" s="4" t="s">
        <v>7</v>
      </c>
      <c r="C10" s="5">
        <v>1234567890</v>
      </c>
      <c r="D10" s="4" t="s">
        <v>8</v>
      </c>
      <c r="E10" s="4" t="s">
        <v>12</v>
      </c>
      <c r="F10" s="6">
        <v>45727</v>
      </c>
      <c r="G10" s="7">
        <v>0.59149305555555554</v>
      </c>
    </row>
    <row r="11" spans="1:7" ht="14.25" customHeight="1" x14ac:dyDescent="0.3">
      <c r="A11" s="3">
        <v>1234</v>
      </c>
      <c r="B11" s="4" t="s">
        <v>7</v>
      </c>
      <c r="C11" s="5">
        <v>1234567890</v>
      </c>
      <c r="D11" s="4" t="s">
        <v>8</v>
      </c>
      <c r="E11" s="4" t="s">
        <v>10</v>
      </c>
      <c r="F11" s="6">
        <v>45727</v>
      </c>
      <c r="G11" s="7">
        <v>0.72563657407407411</v>
      </c>
    </row>
    <row r="12" spans="1:7" ht="14.25" customHeight="1" x14ac:dyDescent="0.3">
      <c r="A12" s="3">
        <v>1234</v>
      </c>
      <c r="B12" s="4" t="s">
        <v>7</v>
      </c>
      <c r="C12" s="5">
        <v>1234567890</v>
      </c>
      <c r="D12" s="4" t="s">
        <v>8</v>
      </c>
      <c r="E12" s="4" t="s">
        <v>9</v>
      </c>
      <c r="F12" s="6">
        <v>45728</v>
      </c>
      <c r="G12" s="7">
        <v>0.32540509259259259</v>
      </c>
    </row>
    <row r="13" spans="1:7" ht="14.25" customHeight="1" x14ac:dyDescent="0.3">
      <c r="A13" s="3">
        <v>1234</v>
      </c>
      <c r="B13" s="4" t="s">
        <v>7</v>
      </c>
      <c r="C13" s="5">
        <v>1234567890</v>
      </c>
      <c r="D13" s="4" t="s">
        <v>8</v>
      </c>
      <c r="E13" s="4" t="s">
        <v>10</v>
      </c>
      <c r="F13" s="6">
        <v>45728</v>
      </c>
      <c r="G13" s="7">
        <v>0.7449189814814815</v>
      </c>
    </row>
    <row r="14" spans="1:7" ht="14.25" customHeight="1" x14ac:dyDescent="0.3">
      <c r="A14" s="3">
        <v>1234</v>
      </c>
      <c r="B14" s="4" t="s">
        <v>7</v>
      </c>
      <c r="C14" s="5">
        <v>1234567890</v>
      </c>
      <c r="D14" s="4" t="s">
        <v>8</v>
      </c>
      <c r="E14" s="4" t="s">
        <v>9</v>
      </c>
      <c r="F14" s="6">
        <v>45729</v>
      </c>
      <c r="G14" s="7">
        <v>0.32339120370370372</v>
      </c>
    </row>
    <row r="15" spans="1:7" ht="14.25" customHeight="1" x14ac:dyDescent="0.3">
      <c r="A15" s="3">
        <v>1234</v>
      </c>
      <c r="B15" s="4" t="s">
        <v>7</v>
      </c>
      <c r="C15" s="5">
        <v>1234567890</v>
      </c>
      <c r="D15" s="4" t="s">
        <v>8</v>
      </c>
      <c r="E15" s="4" t="s">
        <v>10</v>
      </c>
      <c r="F15" s="6">
        <v>45729</v>
      </c>
      <c r="G15" s="7">
        <v>0.74432870370370374</v>
      </c>
    </row>
    <row r="16" spans="1:7" ht="14.25" customHeight="1" x14ac:dyDescent="0.3">
      <c r="A16" s="3">
        <v>1234</v>
      </c>
      <c r="B16" s="4" t="s">
        <v>7</v>
      </c>
      <c r="C16" s="5">
        <v>1234567890</v>
      </c>
      <c r="D16" s="4" t="s">
        <v>8</v>
      </c>
      <c r="E16" s="4" t="s">
        <v>9</v>
      </c>
      <c r="F16" s="6">
        <v>45730</v>
      </c>
      <c r="G16" s="7">
        <v>0.31998842592592591</v>
      </c>
    </row>
    <row r="17" spans="1:7" ht="14.25" customHeight="1" x14ac:dyDescent="0.3">
      <c r="A17" s="3">
        <v>1234</v>
      </c>
      <c r="B17" s="4" t="s">
        <v>7</v>
      </c>
      <c r="C17" s="5">
        <v>1234567890</v>
      </c>
      <c r="D17" s="4" t="s">
        <v>8</v>
      </c>
      <c r="E17" s="4" t="s">
        <v>11</v>
      </c>
      <c r="F17" s="6">
        <v>45730</v>
      </c>
      <c r="G17" s="7">
        <v>0.54997685185185186</v>
      </c>
    </row>
    <row r="18" spans="1:7" ht="14.25" customHeight="1" x14ac:dyDescent="0.3">
      <c r="A18" s="3">
        <v>1234</v>
      </c>
      <c r="B18" s="4" t="s">
        <v>7</v>
      </c>
      <c r="C18" s="5">
        <v>1234567890</v>
      </c>
      <c r="D18" s="4" t="s">
        <v>8</v>
      </c>
      <c r="E18" s="4" t="s">
        <v>12</v>
      </c>
      <c r="F18" s="6">
        <v>45730</v>
      </c>
      <c r="G18" s="7">
        <v>0.59520833333333334</v>
      </c>
    </row>
    <row r="19" spans="1:7" ht="14.25" customHeight="1" x14ac:dyDescent="0.3">
      <c r="A19" s="3">
        <v>1234</v>
      </c>
      <c r="B19" s="4" t="s">
        <v>7</v>
      </c>
      <c r="C19" s="5">
        <v>1234567890</v>
      </c>
      <c r="D19" s="4" t="s">
        <v>8</v>
      </c>
      <c r="E19" s="4" t="s">
        <v>10</v>
      </c>
      <c r="F19" s="6">
        <v>45730</v>
      </c>
      <c r="G19" s="7">
        <v>0.78228009259259257</v>
      </c>
    </row>
    <row r="20" spans="1:7" ht="14.25" customHeight="1" x14ac:dyDescent="0.3">
      <c r="A20" s="3">
        <v>1234</v>
      </c>
      <c r="B20" s="4" t="s">
        <v>7</v>
      </c>
      <c r="C20" s="5">
        <v>1234567890</v>
      </c>
      <c r="D20" s="4" t="s">
        <v>8</v>
      </c>
      <c r="E20" s="4" t="s">
        <v>9</v>
      </c>
      <c r="F20" s="6">
        <v>45733</v>
      </c>
      <c r="G20" s="7">
        <v>0.33208333333333334</v>
      </c>
    </row>
    <row r="21" spans="1:7" ht="14.25" customHeight="1" x14ac:dyDescent="0.3">
      <c r="A21" s="3">
        <v>1234</v>
      </c>
      <c r="B21" s="4" t="s">
        <v>7</v>
      </c>
      <c r="C21" s="5">
        <v>1234567890</v>
      </c>
      <c r="D21" s="4" t="s">
        <v>8</v>
      </c>
      <c r="E21" s="4" t="s">
        <v>9</v>
      </c>
      <c r="F21" s="6">
        <v>45736</v>
      </c>
      <c r="G21" s="7">
        <v>0.32415509259259262</v>
      </c>
    </row>
    <row r="22" spans="1:7" ht="14.25" customHeight="1" x14ac:dyDescent="0.3">
      <c r="A22" s="3">
        <v>1234</v>
      </c>
      <c r="B22" s="4" t="s">
        <v>7</v>
      </c>
      <c r="C22" s="5">
        <v>1234567890</v>
      </c>
      <c r="D22" s="4" t="s">
        <v>8</v>
      </c>
      <c r="E22" s="4" t="s">
        <v>11</v>
      </c>
      <c r="F22" s="6">
        <v>45736</v>
      </c>
      <c r="G22" s="7">
        <v>0.54744212962962968</v>
      </c>
    </row>
    <row r="23" spans="1:7" ht="14.25" customHeight="1" x14ac:dyDescent="0.3">
      <c r="A23" s="3">
        <v>1234</v>
      </c>
      <c r="B23" s="4" t="s">
        <v>7</v>
      </c>
      <c r="C23" s="5">
        <v>1234567890</v>
      </c>
      <c r="D23" s="4" t="s">
        <v>8</v>
      </c>
      <c r="E23" s="4" t="s">
        <v>12</v>
      </c>
      <c r="F23" s="6">
        <v>45736</v>
      </c>
      <c r="G23" s="7">
        <v>0.58842592592592591</v>
      </c>
    </row>
    <row r="24" spans="1:7" ht="14.25" customHeight="1" x14ac:dyDescent="0.3">
      <c r="A24" s="3">
        <v>1234</v>
      </c>
      <c r="B24" s="4" t="s">
        <v>7</v>
      </c>
      <c r="C24" s="5">
        <v>1234567890</v>
      </c>
      <c r="D24" s="4" t="s">
        <v>8</v>
      </c>
      <c r="E24" s="4" t="s">
        <v>10</v>
      </c>
      <c r="F24" s="6">
        <v>45736</v>
      </c>
      <c r="G24" s="7">
        <v>0.77460648148148148</v>
      </c>
    </row>
    <row r="25" spans="1:7" ht="14.25" customHeight="1" x14ac:dyDescent="0.3">
      <c r="A25" s="3">
        <v>1234</v>
      </c>
      <c r="B25" s="4" t="s">
        <v>7</v>
      </c>
      <c r="C25" s="5">
        <v>1234567890</v>
      </c>
      <c r="D25" s="4" t="s">
        <v>8</v>
      </c>
      <c r="E25" s="4" t="s">
        <v>9</v>
      </c>
      <c r="F25" s="6">
        <v>45737</v>
      </c>
      <c r="G25" s="7">
        <v>0.3253935185185185</v>
      </c>
    </row>
    <row r="26" spans="1:7" ht="14.25" customHeight="1" x14ac:dyDescent="0.3">
      <c r="A26" s="3">
        <v>1234</v>
      </c>
      <c r="B26" s="4" t="s">
        <v>7</v>
      </c>
      <c r="C26" s="5">
        <v>1234567890</v>
      </c>
      <c r="D26" s="4" t="s">
        <v>8</v>
      </c>
      <c r="E26" s="4" t="s">
        <v>11</v>
      </c>
      <c r="F26" s="6">
        <v>45737</v>
      </c>
      <c r="G26" s="7">
        <v>0.55390046296296291</v>
      </c>
    </row>
    <row r="27" spans="1:7" ht="14.25" customHeight="1" x14ac:dyDescent="0.3">
      <c r="A27" s="3">
        <v>1234</v>
      </c>
      <c r="B27" s="4" t="s">
        <v>7</v>
      </c>
      <c r="C27" s="5">
        <v>1234567890</v>
      </c>
      <c r="D27" s="4" t="s">
        <v>8</v>
      </c>
      <c r="E27" s="4" t="s">
        <v>12</v>
      </c>
      <c r="F27" s="6">
        <v>45737</v>
      </c>
      <c r="G27" s="7">
        <v>0.58818287037037043</v>
      </c>
    </row>
    <row r="28" spans="1:7" ht="14.25" customHeight="1" x14ac:dyDescent="0.3">
      <c r="A28" s="3">
        <v>1234</v>
      </c>
      <c r="B28" s="4" t="s">
        <v>7</v>
      </c>
      <c r="C28" s="5">
        <v>1234567890</v>
      </c>
      <c r="D28" s="4" t="s">
        <v>8</v>
      </c>
      <c r="E28" s="4" t="s">
        <v>10</v>
      </c>
      <c r="F28" s="6">
        <v>45737</v>
      </c>
      <c r="G28" s="7">
        <v>0.73230324074074071</v>
      </c>
    </row>
    <row r="29" spans="1:7" ht="14.25" customHeight="1" x14ac:dyDescent="0.3">
      <c r="A29" s="3">
        <v>1234</v>
      </c>
      <c r="B29" s="4" t="s">
        <v>7</v>
      </c>
      <c r="C29" s="5">
        <v>1234567890</v>
      </c>
      <c r="D29" s="4" t="s">
        <v>8</v>
      </c>
      <c r="E29" s="4" t="s">
        <v>9</v>
      </c>
      <c r="F29" s="6">
        <v>45739</v>
      </c>
      <c r="G29" s="7">
        <v>0.58758101851851852</v>
      </c>
    </row>
    <row r="30" spans="1:7" ht="14.25" customHeight="1" x14ac:dyDescent="0.3">
      <c r="A30" s="3">
        <v>1234</v>
      </c>
      <c r="B30" s="4" t="s">
        <v>7</v>
      </c>
      <c r="C30" s="5">
        <v>1234567890</v>
      </c>
      <c r="D30" s="4" t="s">
        <v>8</v>
      </c>
      <c r="E30" s="4" t="s">
        <v>10</v>
      </c>
      <c r="F30" s="6">
        <v>45739</v>
      </c>
      <c r="G30" s="7">
        <v>0.96591435185185182</v>
      </c>
    </row>
    <row r="31" spans="1:7" ht="14.25" customHeight="1" x14ac:dyDescent="0.3">
      <c r="A31" s="3">
        <v>1234</v>
      </c>
      <c r="B31" s="4" t="s">
        <v>7</v>
      </c>
      <c r="C31" s="5">
        <v>1234567890</v>
      </c>
      <c r="D31" s="4" t="s">
        <v>8</v>
      </c>
      <c r="E31" s="4" t="s">
        <v>9</v>
      </c>
      <c r="F31" s="6">
        <v>45740</v>
      </c>
      <c r="G31" s="7">
        <v>0.32445601851851852</v>
      </c>
    </row>
    <row r="32" spans="1:7" ht="14.25" customHeight="1" x14ac:dyDescent="0.3">
      <c r="A32" s="3">
        <v>1234</v>
      </c>
      <c r="B32" s="4" t="s">
        <v>7</v>
      </c>
      <c r="C32" s="5">
        <v>1234567890</v>
      </c>
      <c r="D32" s="4" t="s">
        <v>8</v>
      </c>
      <c r="E32" s="4" t="s">
        <v>10</v>
      </c>
      <c r="F32" s="6">
        <v>45740</v>
      </c>
      <c r="G32" s="7">
        <v>0.77276620370370375</v>
      </c>
    </row>
    <row r="33" spans="1:7" ht="14.25" customHeight="1" x14ac:dyDescent="0.3">
      <c r="A33" s="3">
        <v>1234</v>
      </c>
      <c r="B33" s="4" t="s">
        <v>7</v>
      </c>
      <c r="C33" s="5">
        <v>1234567890</v>
      </c>
      <c r="D33" s="4" t="s">
        <v>8</v>
      </c>
      <c r="E33" s="4" t="s">
        <v>9</v>
      </c>
      <c r="F33" s="6">
        <v>45741</v>
      </c>
      <c r="G33" s="7">
        <v>0.32603009259259258</v>
      </c>
    </row>
    <row r="34" spans="1:7" ht="14.25" customHeight="1" x14ac:dyDescent="0.3">
      <c r="A34" s="3">
        <v>1234</v>
      </c>
      <c r="B34" s="4" t="s">
        <v>7</v>
      </c>
      <c r="C34" s="5">
        <v>1234567890</v>
      </c>
      <c r="D34" s="4" t="s">
        <v>8</v>
      </c>
      <c r="E34" s="4" t="s">
        <v>10</v>
      </c>
      <c r="F34" s="6">
        <v>45741</v>
      </c>
      <c r="G34" s="7">
        <v>0.73440972222222223</v>
      </c>
    </row>
    <row r="35" spans="1:7" ht="14.25" customHeight="1" x14ac:dyDescent="0.3">
      <c r="A35" s="3">
        <v>1234</v>
      </c>
      <c r="B35" s="4" t="s">
        <v>7</v>
      </c>
      <c r="C35" s="5">
        <v>1234567890</v>
      </c>
      <c r="D35" s="4" t="s">
        <v>8</v>
      </c>
      <c r="E35" s="4" t="s">
        <v>9</v>
      </c>
      <c r="F35" s="6">
        <v>45742</v>
      </c>
      <c r="G35" s="7">
        <v>0.32556712962962964</v>
      </c>
    </row>
    <row r="36" spans="1:7" ht="14.25" customHeight="1" x14ac:dyDescent="0.3">
      <c r="A36" s="3">
        <v>1234</v>
      </c>
      <c r="B36" s="4" t="s">
        <v>7</v>
      </c>
      <c r="C36" s="5">
        <v>1234567890</v>
      </c>
      <c r="D36" s="4" t="s">
        <v>8</v>
      </c>
      <c r="E36" s="4" t="s">
        <v>10</v>
      </c>
      <c r="F36" s="6">
        <v>45742</v>
      </c>
      <c r="G36" s="7">
        <v>0.73674768518518519</v>
      </c>
    </row>
    <row r="37" spans="1:7" ht="14.25" customHeight="1" x14ac:dyDescent="0.3">
      <c r="A37" s="3">
        <v>1234</v>
      </c>
      <c r="B37" s="4" t="s">
        <v>7</v>
      </c>
      <c r="C37" s="5">
        <v>1234567890</v>
      </c>
      <c r="D37" s="4" t="s">
        <v>8</v>
      </c>
      <c r="E37" s="4" t="s">
        <v>9</v>
      </c>
      <c r="F37" s="6">
        <v>45743</v>
      </c>
      <c r="G37" s="7">
        <v>0.32111111111111112</v>
      </c>
    </row>
    <row r="38" spans="1:7" ht="14.25" customHeight="1" x14ac:dyDescent="0.3">
      <c r="A38" s="3">
        <v>1234</v>
      </c>
      <c r="B38" s="4" t="s">
        <v>7</v>
      </c>
      <c r="C38" s="5">
        <v>1234567890</v>
      </c>
      <c r="D38" s="4" t="s">
        <v>8</v>
      </c>
      <c r="E38" s="4" t="s">
        <v>11</v>
      </c>
      <c r="F38" s="6">
        <v>45743</v>
      </c>
      <c r="G38" s="7">
        <v>0.54468749999999999</v>
      </c>
    </row>
    <row r="39" spans="1:7" ht="14.25" customHeight="1" x14ac:dyDescent="0.3">
      <c r="A39" s="3">
        <v>1234</v>
      </c>
      <c r="B39" s="4" t="s">
        <v>7</v>
      </c>
      <c r="C39" s="5">
        <v>1234567890</v>
      </c>
      <c r="D39" s="4" t="s">
        <v>8</v>
      </c>
      <c r="E39" s="4" t="s">
        <v>12</v>
      </c>
      <c r="F39" s="6">
        <v>45743</v>
      </c>
      <c r="G39" s="7">
        <v>0.58765046296296297</v>
      </c>
    </row>
    <row r="40" spans="1:7" ht="14.25" customHeight="1" x14ac:dyDescent="0.3">
      <c r="A40" s="3">
        <v>1234</v>
      </c>
      <c r="B40" s="4" t="s">
        <v>7</v>
      </c>
      <c r="C40" s="5">
        <v>1234567890</v>
      </c>
      <c r="D40" s="4" t="s">
        <v>8</v>
      </c>
      <c r="E40" s="4" t="s">
        <v>10</v>
      </c>
      <c r="F40" s="6">
        <v>45743</v>
      </c>
      <c r="G40" s="7">
        <v>0.71494212962962966</v>
      </c>
    </row>
    <row r="41" spans="1:7" ht="14.25" customHeight="1" x14ac:dyDescent="0.3">
      <c r="A41" s="3">
        <v>1234</v>
      </c>
      <c r="B41" s="4" t="s">
        <v>7</v>
      </c>
      <c r="C41" s="5">
        <v>1234567890</v>
      </c>
      <c r="D41" s="4" t="s">
        <v>8</v>
      </c>
      <c r="E41" s="4" t="s">
        <v>9</v>
      </c>
      <c r="F41" s="6">
        <v>45744</v>
      </c>
      <c r="G41" s="7">
        <v>0.3309375</v>
      </c>
    </row>
    <row r="42" spans="1:7" ht="14.25" customHeight="1" x14ac:dyDescent="0.3">
      <c r="A42" s="3">
        <v>1234</v>
      </c>
      <c r="B42" s="4" t="s">
        <v>7</v>
      </c>
      <c r="C42" s="5">
        <v>1234567890</v>
      </c>
      <c r="D42" s="4" t="s">
        <v>8</v>
      </c>
      <c r="E42" s="4" t="s">
        <v>10</v>
      </c>
      <c r="F42" s="6">
        <v>45744</v>
      </c>
      <c r="G42" s="7">
        <v>0.73015046296296293</v>
      </c>
    </row>
    <row r="43" spans="1:7" ht="14.25" customHeight="1" x14ac:dyDescent="0.3">
      <c r="A43" s="3">
        <v>1234</v>
      </c>
      <c r="B43" s="4" t="s">
        <v>7</v>
      </c>
      <c r="C43" s="5">
        <v>1234567890</v>
      </c>
      <c r="D43" s="4" t="s">
        <v>8</v>
      </c>
      <c r="E43" s="4" t="s">
        <v>9</v>
      </c>
      <c r="F43" s="6">
        <v>45747</v>
      </c>
      <c r="G43" s="7">
        <v>0.32704861111111111</v>
      </c>
    </row>
    <row r="44" spans="1:7" ht="14.25" customHeight="1" x14ac:dyDescent="0.3">
      <c r="A44" s="3">
        <v>1234</v>
      </c>
      <c r="B44" s="4" t="s">
        <v>7</v>
      </c>
      <c r="C44" s="5">
        <v>1234567890</v>
      </c>
      <c r="D44" s="4" t="s">
        <v>8</v>
      </c>
      <c r="E44" s="4" t="s">
        <v>11</v>
      </c>
      <c r="F44" s="6">
        <v>45747</v>
      </c>
      <c r="G44" s="7">
        <v>0.5706134259259259</v>
      </c>
    </row>
    <row r="45" spans="1:7" ht="14.25" customHeight="1" x14ac:dyDescent="0.3">
      <c r="A45" s="3">
        <v>1234</v>
      </c>
      <c r="B45" s="4" t="s">
        <v>7</v>
      </c>
      <c r="C45" s="5">
        <v>1234567890</v>
      </c>
      <c r="D45" s="4" t="s">
        <v>8</v>
      </c>
      <c r="E45" s="4" t="s">
        <v>12</v>
      </c>
      <c r="F45" s="6">
        <v>45747</v>
      </c>
      <c r="G45" s="7">
        <v>0.60503472222222221</v>
      </c>
    </row>
    <row r="46" spans="1:7" ht="14.25" customHeight="1" x14ac:dyDescent="0.3">
      <c r="A46" s="3">
        <v>1234</v>
      </c>
      <c r="B46" s="4" t="s">
        <v>7</v>
      </c>
      <c r="C46" s="5">
        <v>1234567890</v>
      </c>
      <c r="D46" s="4" t="s">
        <v>8</v>
      </c>
      <c r="E46" s="4" t="s">
        <v>10</v>
      </c>
      <c r="F46" s="6">
        <v>45747</v>
      </c>
      <c r="G46" s="7">
        <v>0.73943287037037042</v>
      </c>
    </row>
    <row r="47" spans="1:7" ht="14.25" customHeight="1" x14ac:dyDescent="0.3">
      <c r="A47" s="3">
        <v>2345</v>
      </c>
      <c r="B47" s="4" t="s">
        <v>13</v>
      </c>
      <c r="C47" s="5">
        <v>1234567890</v>
      </c>
      <c r="D47" s="4" t="s">
        <v>8</v>
      </c>
      <c r="E47" s="4" t="s">
        <v>9</v>
      </c>
      <c r="F47" s="6">
        <v>45721</v>
      </c>
      <c r="G47" s="7">
        <v>0.32435185185185184</v>
      </c>
    </row>
    <row r="48" spans="1:7" ht="14.25" customHeight="1" x14ac:dyDescent="0.3">
      <c r="A48" s="3">
        <v>2345</v>
      </c>
      <c r="B48" s="4" t="s">
        <v>13</v>
      </c>
      <c r="C48" s="5">
        <v>1234567890</v>
      </c>
      <c r="D48" s="4" t="s">
        <v>8</v>
      </c>
      <c r="E48" s="4" t="s">
        <v>11</v>
      </c>
      <c r="F48" s="6">
        <v>45721</v>
      </c>
      <c r="G48" s="7">
        <v>0.55839120370370365</v>
      </c>
    </row>
    <row r="49" spans="1:7" ht="14.25" customHeight="1" x14ac:dyDescent="0.3">
      <c r="A49" s="3">
        <v>2345</v>
      </c>
      <c r="B49" s="4" t="s">
        <v>13</v>
      </c>
      <c r="C49" s="5">
        <v>1234567890</v>
      </c>
      <c r="D49" s="4" t="s">
        <v>8</v>
      </c>
      <c r="E49" s="4" t="s">
        <v>12</v>
      </c>
      <c r="F49" s="6">
        <v>45721</v>
      </c>
      <c r="G49" s="7">
        <v>0.58728009259259262</v>
      </c>
    </row>
    <row r="50" spans="1:7" ht="14.25" customHeight="1" x14ac:dyDescent="0.3">
      <c r="A50" s="3">
        <v>2345</v>
      </c>
      <c r="B50" s="4" t="s">
        <v>13</v>
      </c>
      <c r="C50" s="5">
        <v>1234567890</v>
      </c>
      <c r="D50" s="4" t="s">
        <v>8</v>
      </c>
      <c r="E50" s="4" t="s">
        <v>10</v>
      </c>
      <c r="F50" s="6">
        <v>45721</v>
      </c>
      <c r="G50" s="7">
        <v>0.7525694444444444</v>
      </c>
    </row>
    <row r="51" spans="1:7" ht="14.25" customHeight="1" x14ac:dyDescent="0.3">
      <c r="A51" s="3">
        <v>2345</v>
      </c>
      <c r="B51" s="4" t="s">
        <v>13</v>
      </c>
      <c r="C51" s="5">
        <v>1234567890</v>
      </c>
      <c r="D51" s="4" t="s">
        <v>8</v>
      </c>
      <c r="E51" s="4" t="s">
        <v>9</v>
      </c>
      <c r="F51" s="6">
        <v>45722</v>
      </c>
      <c r="G51" s="7">
        <v>0.33027777777777778</v>
      </c>
    </row>
    <row r="52" spans="1:7" ht="14.25" customHeight="1" x14ac:dyDescent="0.3">
      <c r="A52" s="3">
        <v>2345</v>
      </c>
      <c r="B52" s="4" t="s">
        <v>13</v>
      </c>
      <c r="C52" s="5">
        <v>1234567890</v>
      </c>
      <c r="D52" s="4" t="s">
        <v>8</v>
      </c>
      <c r="E52" s="4" t="s">
        <v>11</v>
      </c>
      <c r="F52" s="6">
        <v>45722</v>
      </c>
      <c r="G52" s="7">
        <v>0.54518518518518522</v>
      </c>
    </row>
    <row r="53" spans="1:7" ht="14.25" customHeight="1" x14ac:dyDescent="0.3">
      <c r="A53" s="3">
        <v>2345</v>
      </c>
      <c r="B53" s="4" t="s">
        <v>13</v>
      </c>
      <c r="C53" s="5">
        <v>1234567890</v>
      </c>
      <c r="D53" s="4" t="s">
        <v>8</v>
      </c>
      <c r="E53" s="4" t="s">
        <v>12</v>
      </c>
      <c r="F53" s="6">
        <v>45722</v>
      </c>
      <c r="G53" s="7">
        <v>0.58300925925925928</v>
      </c>
    </row>
    <row r="54" spans="1:7" ht="14.25" customHeight="1" x14ac:dyDescent="0.3">
      <c r="A54" s="3">
        <v>2345</v>
      </c>
      <c r="B54" s="4" t="s">
        <v>13</v>
      </c>
      <c r="C54" s="5">
        <v>1234567890</v>
      </c>
      <c r="D54" s="4" t="s">
        <v>8</v>
      </c>
      <c r="E54" s="4" t="s">
        <v>10</v>
      </c>
      <c r="F54" s="6">
        <v>45722</v>
      </c>
      <c r="G54" s="7">
        <v>0.7190509259259259</v>
      </c>
    </row>
    <row r="55" spans="1:7" ht="14.25" customHeight="1" x14ac:dyDescent="0.3">
      <c r="A55" s="3">
        <v>2345</v>
      </c>
      <c r="B55" s="4" t="s">
        <v>13</v>
      </c>
      <c r="C55" s="5">
        <v>1234567890</v>
      </c>
      <c r="D55" s="4" t="s">
        <v>8</v>
      </c>
      <c r="E55" s="4" t="s">
        <v>9</v>
      </c>
      <c r="F55" s="6">
        <v>45723</v>
      </c>
      <c r="G55" s="7">
        <v>0.33015046296296297</v>
      </c>
    </row>
    <row r="56" spans="1:7" ht="14.25" customHeight="1" x14ac:dyDescent="0.3">
      <c r="A56" s="3">
        <v>2345</v>
      </c>
      <c r="B56" s="4" t="s">
        <v>13</v>
      </c>
      <c r="C56" s="5">
        <v>1234567890</v>
      </c>
      <c r="D56" s="4" t="s">
        <v>8</v>
      </c>
      <c r="E56" s="4" t="s">
        <v>11</v>
      </c>
      <c r="F56" s="6">
        <v>45723</v>
      </c>
      <c r="G56" s="7">
        <v>0.55364583333333328</v>
      </c>
    </row>
    <row r="57" spans="1:7" ht="14.25" customHeight="1" x14ac:dyDescent="0.3">
      <c r="A57" s="3">
        <v>2345</v>
      </c>
      <c r="B57" s="4" t="s">
        <v>13</v>
      </c>
      <c r="C57" s="5">
        <v>1234567890</v>
      </c>
      <c r="D57" s="4" t="s">
        <v>8</v>
      </c>
      <c r="E57" s="4" t="s">
        <v>12</v>
      </c>
      <c r="F57" s="6">
        <v>45723</v>
      </c>
      <c r="G57" s="7">
        <v>0.59987268518518522</v>
      </c>
    </row>
    <row r="58" spans="1:7" ht="14.25" customHeight="1" x14ac:dyDescent="0.3">
      <c r="A58" s="3">
        <v>2345</v>
      </c>
      <c r="B58" s="4" t="s">
        <v>13</v>
      </c>
      <c r="C58" s="5">
        <v>1234567890</v>
      </c>
      <c r="D58" s="4" t="s">
        <v>8</v>
      </c>
      <c r="E58" s="4" t="s">
        <v>10</v>
      </c>
      <c r="F58" s="6">
        <v>45723</v>
      </c>
      <c r="G58" s="7">
        <v>0.75413194444444442</v>
      </c>
    </row>
    <row r="59" spans="1:7" ht="14.25" customHeight="1" x14ac:dyDescent="0.3">
      <c r="A59" s="3">
        <v>2345</v>
      </c>
      <c r="B59" s="4" t="s">
        <v>13</v>
      </c>
      <c r="C59" s="5">
        <v>1234567890</v>
      </c>
      <c r="D59" s="4" t="s">
        <v>8</v>
      </c>
      <c r="E59" s="4" t="s">
        <v>9</v>
      </c>
      <c r="F59" s="6">
        <v>45726</v>
      </c>
      <c r="G59" s="7">
        <v>0.32586805555555554</v>
      </c>
    </row>
    <row r="60" spans="1:7" ht="14.25" customHeight="1" x14ac:dyDescent="0.3">
      <c r="A60" s="3">
        <v>2345</v>
      </c>
      <c r="B60" s="4" t="s">
        <v>13</v>
      </c>
      <c r="C60" s="5">
        <v>1234567890</v>
      </c>
      <c r="D60" s="4" t="s">
        <v>8</v>
      </c>
      <c r="E60" s="4" t="s">
        <v>11</v>
      </c>
      <c r="F60" s="6">
        <v>45726</v>
      </c>
      <c r="G60" s="7">
        <v>0.54773148148148143</v>
      </c>
    </row>
    <row r="61" spans="1:7" ht="14.25" customHeight="1" x14ac:dyDescent="0.3">
      <c r="A61" s="3">
        <v>2345</v>
      </c>
      <c r="B61" s="4" t="s">
        <v>13</v>
      </c>
      <c r="C61" s="5">
        <v>1234567890</v>
      </c>
      <c r="D61" s="4" t="s">
        <v>8</v>
      </c>
      <c r="E61" s="4" t="s">
        <v>12</v>
      </c>
      <c r="F61" s="6">
        <v>45726</v>
      </c>
      <c r="G61" s="7">
        <v>0.59091435185185182</v>
      </c>
    </row>
    <row r="62" spans="1:7" ht="14.25" customHeight="1" x14ac:dyDescent="0.3">
      <c r="A62" s="3">
        <v>2345</v>
      </c>
      <c r="B62" s="4" t="s">
        <v>13</v>
      </c>
      <c r="C62" s="5">
        <v>1234567890</v>
      </c>
      <c r="D62" s="4" t="s">
        <v>8</v>
      </c>
      <c r="E62" s="4" t="s">
        <v>10</v>
      </c>
      <c r="F62" s="6">
        <v>45726</v>
      </c>
      <c r="G62" s="7">
        <v>0.727025462962963</v>
      </c>
    </row>
    <row r="63" spans="1:7" ht="14.25" customHeight="1" x14ac:dyDescent="0.3">
      <c r="A63" s="3">
        <v>2345</v>
      </c>
      <c r="B63" s="4" t="s">
        <v>13</v>
      </c>
      <c r="C63" s="5">
        <v>1234567890</v>
      </c>
      <c r="D63" s="4" t="s">
        <v>8</v>
      </c>
      <c r="E63" s="4" t="s">
        <v>9</v>
      </c>
      <c r="F63" s="6">
        <v>45727</v>
      </c>
      <c r="G63" s="7">
        <v>0.3316898148148148</v>
      </c>
    </row>
    <row r="64" spans="1:7" ht="14.25" customHeight="1" x14ac:dyDescent="0.3">
      <c r="A64" s="3">
        <v>2345</v>
      </c>
      <c r="B64" s="4" t="s">
        <v>13</v>
      </c>
      <c r="C64" s="5">
        <v>1234567890</v>
      </c>
      <c r="D64" s="4" t="s">
        <v>8</v>
      </c>
      <c r="E64" s="4" t="s">
        <v>11</v>
      </c>
      <c r="F64" s="6">
        <v>45727</v>
      </c>
      <c r="G64" s="7">
        <v>0.55637731481481478</v>
      </c>
    </row>
    <row r="65" spans="1:7" ht="14.25" customHeight="1" x14ac:dyDescent="0.3">
      <c r="A65" s="3">
        <v>2345</v>
      </c>
      <c r="B65" s="4" t="s">
        <v>13</v>
      </c>
      <c r="C65" s="5">
        <v>1234567890</v>
      </c>
      <c r="D65" s="4" t="s">
        <v>8</v>
      </c>
      <c r="E65" s="4" t="s">
        <v>12</v>
      </c>
      <c r="F65" s="6">
        <v>45727</v>
      </c>
      <c r="G65" s="7">
        <v>0.57759259259259255</v>
      </c>
    </row>
    <row r="66" spans="1:7" ht="14.25" customHeight="1" x14ac:dyDescent="0.3">
      <c r="A66" s="3">
        <v>2345</v>
      </c>
      <c r="B66" s="4" t="s">
        <v>13</v>
      </c>
      <c r="C66" s="5">
        <v>1234567890</v>
      </c>
      <c r="D66" s="4" t="s">
        <v>8</v>
      </c>
      <c r="E66" s="4" t="s">
        <v>10</v>
      </c>
      <c r="F66" s="6">
        <v>45727</v>
      </c>
      <c r="G66" s="7">
        <v>0.7251967592592593</v>
      </c>
    </row>
    <row r="67" spans="1:7" ht="14.25" customHeight="1" x14ac:dyDescent="0.3">
      <c r="A67" s="3">
        <v>2345</v>
      </c>
      <c r="B67" s="4" t="s">
        <v>13</v>
      </c>
      <c r="C67" s="5">
        <v>1234567890</v>
      </c>
      <c r="D67" s="4" t="s">
        <v>8</v>
      </c>
      <c r="E67" s="4" t="s">
        <v>9</v>
      </c>
      <c r="F67" s="6">
        <v>45728</v>
      </c>
      <c r="G67" s="7">
        <v>0.33230324074074075</v>
      </c>
    </row>
    <row r="68" spans="1:7" ht="14.25" customHeight="1" x14ac:dyDescent="0.3">
      <c r="A68" s="3">
        <v>2345</v>
      </c>
      <c r="B68" s="4" t="s">
        <v>13</v>
      </c>
      <c r="C68" s="5">
        <v>1234567890</v>
      </c>
      <c r="D68" s="4" t="s">
        <v>8</v>
      </c>
      <c r="E68" s="4" t="s">
        <v>11</v>
      </c>
      <c r="F68" s="6">
        <v>45728</v>
      </c>
      <c r="G68" s="7">
        <v>0.5496064814814815</v>
      </c>
    </row>
    <row r="69" spans="1:7" ht="14.25" customHeight="1" x14ac:dyDescent="0.3">
      <c r="A69" s="3">
        <v>2345</v>
      </c>
      <c r="B69" s="4" t="s">
        <v>13</v>
      </c>
      <c r="C69" s="5">
        <v>1234567890</v>
      </c>
      <c r="D69" s="4" t="s">
        <v>8</v>
      </c>
      <c r="E69" s="4" t="s">
        <v>12</v>
      </c>
      <c r="F69" s="6">
        <v>45728</v>
      </c>
      <c r="G69" s="7">
        <v>0.58981481481481479</v>
      </c>
    </row>
    <row r="70" spans="1:7" ht="14.25" customHeight="1" x14ac:dyDescent="0.3">
      <c r="A70" s="3">
        <v>2345</v>
      </c>
      <c r="B70" s="4" t="s">
        <v>13</v>
      </c>
      <c r="C70" s="5">
        <v>1234567890</v>
      </c>
      <c r="D70" s="4" t="s">
        <v>8</v>
      </c>
      <c r="E70" s="4" t="s">
        <v>10</v>
      </c>
      <c r="F70" s="6">
        <v>45728</v>
      </c>
      <c r="G70" s="7">
        <v>0.7522106481481482</v>
      </c>
    </row>
    <row r="71" spans="1:7" ht="14.25" customHeight="1" x14ac:dyDescent="0.3">
      <c r="A71" s="3">
        <v>2345</v>
      </c>
      <c r="B71" s="4" t="s">
        <v>13</v>
      </c>
      <c r="C71" s="5">
        <v>1234567890</v>
      </c>
      <c r="D71" s="4" t="s">
        <v>8</v>
      </c>
      <c r="E71" s="4" t="s">
        <v>9</v>
      </c>
      <c r="F71" s="6">
        <v>45729</v>
      </c>
      <c r="G71" s="7">
        <v>0.33202546296296298</v>
      </c>
    </row>
    <row r="72" spans="1:7" ht="14.25" customHeight="1" x14ac:dyDescent="0.3">
      <c r="A72" s="3">
        <v>2345</v>
      </c>
      <c r="B72" s="4" t="s">
        <v>13</v>
      </c>
      <c r="C72" s="5">
        <v>1234567890</v>
      </c>
      <c r="D72" s="4" t="s">
        <v>8</v>
      </c>
      <c r="E72" s="4" t="s">
        <v>11</v>
      </c>
      <c r="F72" s="6">
        <v>45729</v>
      </c>
      <c r="G72" s="7">
        <v>0.5700925925925926</v>
      </c>
    </row>
    <row r="73" spans="1:7" ht="14.25" customHeight="1" x14ac:dyDescent="0.3">
      <c r="A73" s="3">
        <v>2345</v>
      </c>
      <c r="B73" s="4" t="s">
        <v>13</v>
      </c>
      <c r="C73" s="5">
        <v>1234567890</v>
      </c>
      <c r="D73" s="4" t="s">
        <v>8</v>
      </c>
      <c r="E73" s="4" t="s">
        <v>12</v>
      </c>
      <c r="F73" s="6">
        <v>45729</v>
      </c>
      <c r="G73" s="7">
        <v>0.59083333333333332</v>
      </c>
    </row>
    <row r="74" spans="1:7" ht="14.25" customHeight="1" x14ac:dyDescent="0.3">
      <c r="A74" s="3">
        <v>2345</v>
      </c>
      <c r="B74" s="4" t="s">
        <v>13</v>
      </c>
      <c r="C74" s="5">
        <v>1234567890</v>
      </c>
      <c r="D74" s="4" t="s">
        <v>8</v>
      </c>
      <c r="E74" s="4" t="s">
        <v>10</v>
      </c>
      <c r="F74" s="6">
        <v>45729</v>
      </c>
      <c r="G74" s="7">
        <v>0.74706018518518513</v>
      </c>
    </row>
    <row r="75" spans="1:7" ht="14.25" customHeight="1" x14ac:dyDescent="0.3">
      <c r="A75" s="3">
        <v>2345</v>
      </c>
      <c r="B75" s="4" t="s">
        <v>13</v>
      </c>
      <c r="C75" s="5">
        <v>1234567890</v>
      </c>
      <c r="D75" s="4" t="s">
        <v>8</v>
      </c>
      <c r="E75" s="4" t="s">
        <v>9</v>
      </c>
      <c r="F75" s="6">
        <v>45730</v>
      </c>
      <c r="G75" s="7">
        <v>0.32906249999999998</v>
      </c>
    </row>
    <row r="76" spans="1:7" ht="14.25" customHeight="1" x14ac:dyDescent="0.3">
      <c r="A76" s="3">
        <v>2345</v>
      </c>
      <c r="B76" s="4" t="s">
        <v>13</v>
      </c>
      <c r="C76" s="5">
        <v>1234567890</v>
      </c>
      <c r="D76" s="4" t="s">
        <v>8</v>
      </c>
      <c r="E76" s="4" t="s">
        <v>11</v>
      </c>
      <c r="F76" s="6">
        <v>45730</v>
      </c>
      <c r="G76" s="7">
        <v>0.56402777777777779</v>
      </c>
    </row>
    <row r="77" spans="1:7" ht="14.25" customHeight="1" x14ac:dyDescent="0.3">
      <c r="A77" s="3">
        <v>2345</v>
      </c>
      <c r="B77" s="4" t="s">
        <v>13</v>
      </c>
      <c r="C77" s="5">
        <v>1234567890</v>
      </c>
      <c r="D77" s="4" t="s">
        <v>8</v>
      </c>
      <c r="E77" s="4" t="s">
        <v>12</v>
      </c>
      <c r="F77" s="6">
        <v>45730</v>
      </c>
      <c r="G77" s="7">
        <v>0.58858796296296301</v>
      </c>
    </row>
    <row r="78" spans="1:7" ht="14.25" customHeight="1" x14ac:dyDescent="0.3">
      <c r="A78" s="3">
        <v>2345</v>
      </c>
      <c r="B78" s="4" t="s">
        <v>13</v>
      </c>
      <c r="C78" s="5">
        <v>1234567890</v>
      </c>
      <c r="D78" s="4" t="s">
        <v>8</v>
      </c>
      <c r="E78" s="4" t="s">
        <v>10</v>
      </c>
      <c r="F78" s="6">
        <v>45730</v>
      </c>
      <c r="G78" s="7">
        <v>0.74160879629629628</v>
      </c>
    </row>
    <row r="79" spans="1:7" ht="14.25" customHeight="1" x14ac:dyDescent="0.3">
      <c r="A79" s="3">
        <v>2345</v>
      </c>
      <c r="B79" s="4" t="s">
        <v>13</v>
      </c>
      <c r="C79" s="5">
        <v>1234567890</v>
      </c>
      <c r="D79" s="4" t="s">
        <v>8</v>
      </c>
      <c r="E79" s="4" t="s">
        <v>9</v>
      </c>
      <c r="F79" s="6">
        <v>45733</v>
      </c>
      <c r="G79" s="7">
        <v>0.32915509259259257</v>
      </c>
    </row>
    <row r="80" spans="1:7" ht="14.25" customHeight="1" x14ac:dyDescent="0.3">
      <c r="A80" s="3">
        <v>2345</v>
      </c>
      <c r="B80" s="4" t="s">
        <v>13</v>
      </c>
      <c r="C80" s="5">
        <v>1234567890</v>
      </c>
      <c r="D80" s="4" t="s">
        <v>8</v>
      </c>
      <c r="E80" s="4" t="s">
        <v>11</v>
      </c>
      <c r="F80" s="6">
        <v>45733</v>
      </c>
      <c r="G80" s="7">
        <v>0.55085648148148147</v>
      </c>
    </row>
    <row r="81" spans="1:7" ht="14.25" customHeight="1" x14ac:dyDescent="0.3">
      <c r="A81" s="3">
        <v>2345</v>
      </c>
      <c r="B81" s="4" t="s">
        <v>13</v>
      </c>
      <c r="C81" s="5">
        <v>1234567890</v>
      </c>
      <c r="D81" s="4" t="s">
        <v>8</v>
      </c>
      <c r="E81" s="4" t="s">
        <v>12</v>
      </c>
      <c r="F81" s="6">
        <v>45733</v>
      </c>
      <c r="G81" s="7">
        <v>0.5765393518518519</v>
      </c>
    </row>
    <row r="82" spans="1:7" ht="14.25" customHeight="1" x14ac:dyDescent="0.3">
      <c r="A82" s="3">
        <v>2345</v>
      </c>
      <c r="B82" s="4" t="s">
        <v>13</v>
      </c>
      <c r="C82" s="5">
        <v>1234567890</v>
      </c>
      <c r="D82" s="4" t="s">
        <v>8</v>
      </c>
      <c r="E82" s="4" t="s">
        <v>10</v>
      </c>
      <c r="F82" s="6">
        <v>45733</v>
      </c>
      <c r="G82" s="7">
        <v>0.71851851851851856</v>
      </c>
    </row>
    <row r="83" spans="1:7" ht="14.25" customHeight="1" x14ac:dyDescent="0.3">
      <c r="A83" s="3">
        <v>2345</v>
      </c>
      <c r="B83" s="4" t="s">
        <v>13</v>
      </c>
      <c r="C83" s="5">
        <v>1234567890</v>
      </c>
      <c r="D83" s="4" t="s">
        <v>8</v>
      </c>
      <c r="E83" s="4" t="s">
        <v>9</v>
      </c>
      <c r="F83" s="6">
        <v>45734</v>
      </c>
      <c r="G83" s="7">
        <v>0.33197916666666666</v>
      </c>
    </row>
    <row r="84" spans="1:7" ht="14.25" customHeight="1" x14ac:dyDescent="0.3">
      <c r="A84" s="3">
        <v>2345</v>
      </c>
      <c r="B84" s="4" t="s">
        <v>13</v>
      </c>
      <c r="C84" s="5">
        <v>1234567890</v>
      </c>
      <c r="D84" s="4" t="s">
        <v>8</v>
      </c>
      <c r="E84" s="4" t="s">
        <v>11</v>
      </c>
      <c r="F84" s="6">
        <v>45734</v>
      </c>
      <c r="G84" s="7">
        <v>0.55410879629629628</v>
      </c>
    </row>
    <row r="85" spans="1:7" ht="14.25" customHeight="1" x14ac:dyDescent="0.3">
      <c r="A85" s="3">
        <v>2345</v>
      </c>
      <c r="B85" s="4" t="s">
        <v>13</v>
      </c>
      <c r="C85" s="5">
        <v>1234567890</v>
      </c>
      <c r="D85" s="4" t="s">
        <v>8</v>
      </c>
      <c r="E85" s="4" t="s">
        <v>12</v>
      </c>
      <c r="F85" s="6">
        <v>45734</v>
      </c>
      <c r="G85" s="7">
        <v>0.5917824074074074</v>
      </c>
    </row>
    <row r="86" spans="1:7" ht="14.25" customHeight="1" x14ac:dyDescent="0.3">
      <c r="A86" s="3">
        <v>2345</v>
      </c>
      <c r="B86" s="4" t="s">
        <v>13</v>
      </c>
      <c r="C86" s="5">
        <v>1234567890</v>
      </c>
      <c r="D86" s="4" t="s">
        <v>8</v>
      </c>
      <c r="E86" s="4" t="s">
        <v>10</v>
      </c>
      <c r="F86" s="6">
        <v>45734</v>
      </c>
      <c r="G86" s="7">
        <v>0.71550925925925923</v>
      </c>
    </row>
    <row r="87" spans="1:7" ht="14.25" customHeight="1" x14ac:dyDescent="0.3">
      <c r="A87" s="3">
        <v>2345</v>
      </c>
      <c r="B87" s="4" t="s">
        <v>13</v>
      </c>
      <c r="C87" s="5">
        <v>1234567890</v>
      </c>
      <c r="D87" s="4" t="s">
        <v>8</v>
      </c>
      <c r="E87" s="4" t="s">
        <v>9</v>
      </c>
      <c r="F87" s="6">
        <v>45735</v>
      </c>
      <c r="G87" s="7">
        <v>0.33164351851851853</v>
      </c>
    </row>
    <row r="88" spans="1:7" ht="14.25" customHeight="1" x14ac:dyDescent="0.3">
      <c r="A88" s="3">
        <v>2345</v>
      </c>
      <c r="B88" s="4" t="s">
        <v>13</v>
      </c>
      <c r="C88" s="5">
        <v>1234567890</v>
      </c>
      <c r="D88" s="4" t="s">
        <v>8</v>
      </c>
      <c r="E88" s="4" t="s">
        <v>11</v>
      </c>
      <c r="F88" s="6">
        <v>45735</v>
      </c>
      <c r="G88" s="7">
        <v>0.56002314814814813</v>
      </c>
    </row>
    <row r="89" spans="1:7" ht="14.25" customHeight="1" x14ac:dyDescent="0.3">
      <c r="A89" s="3">
        <v>2345</v>
      </c>
      <c r="B89" s="4" t="s">
        <v>13</v>
      </c>
      <c r="C89" s="5">
        <v>1234567890</v>
      </c>
      <c r="D89" s="4" t="s">
        <v>8</v>
      </c>
      <c r="E89" s="4" t="s">
        <v>12</v>
      </c>
      <c r="F89" s="6">
        <v>45735</v>
      </c>
      <c r="G89" s="7">
        <v>0.58553240740740742</v>
      </c>
    </row>
    <row r="90" spans="1:7" ht="14.25" customHeight="1" x14ac:dyDescent="0.3">
      <c r="A90" s="3">
        <v>2345</v>
      </c>
      <c r="B90" s="4" t="s">
        <v>13</v>
      </c>
      <c r="C90" s="5">
        <v>1234567890</v>
      </c>
      <c r="D90" s="4" t="s">
        <v>8</v>
      </c>
      <c r="E90" s="4" t="s">
        <v>10</v>
      </c>
      <c r="F90" s="6">
        <v>45735</v>
      </c>
      <c r="G90" s="7">
        <v>0.74398148148148147</v>
      </c>
    </row>
    <row r="91" spans="1:7" ht="14.25" customHeight="1" x14ac:dyDescent="0.3">
      <c r="A91" s="3">
        <v>2345</v>
      </c>
      <c r="B91" s="4" t="s">
        <v>13</v>
      </c>
      <c r="C91" s="5">
        <v>1234567890</v>
      </c>
      <c r="D91" s="4" t="s">
        <v>8</v>
      </c>
      <c r="E91" s="4" t="s">
        <v>9</v>
      </c>
      <c r="F91" s="6">
        <v>45736</v>
      </c>
      <c r="G91" s="7">
        <v>0.32864583333333336</v>
      </c>
    </row>
    <row r="92" spans="1:7" ht="14.25" customHeight="1" x14ac:dyDescent="0.3">
      <c r="A92" s="3">
        <v>2345</v>
      </c>
      <c r="B92" s="4" t="s">
        <v>13</v>
      </c>
      <c r="C92" s="5">
        <v>1234567890</v>
      </c>
      <c r="D92" s="4" t="s">
        <v>8</v>
      </c>
      <c r="E92" s="4" t="s">
        <v>11</v>
      </c>
      <c r="F92" s="6">
        <v>45736</v>
      </c>
      <c r="G92" s="7">
        <v>0.55101851851851846</v>
      </c>
    </row>
    <row r="93" spans="1:7" ht="14.25" customHeight="1" x14ac:dyDescent="0.3">
      <c r="A93" s="3">
        <v>2345</v>
      </c>
      <c r="B93" s="4" t="s">
        <v>13</v>
      </c>
      <c r="C93" s="5">
        <v>1234567890</v>
      </c>
      <c r="D93" s="4" t="s">
        <v>8</v>
      </c>
      <c r="E93" s="4" t="s">
        <v>12</v>
      </c>
      <c r="F93" s="6">
        <v>45736</v>
      </c>
      <c r="G93" s="7">
        <v>0.57423611111111106</v>
      </c>
    </row>
    <row r="94" spans="1:7" ht="14.25" customHeight="1" x14ac:dyDescent="0.3">
      <c r="A94" s="3">
        <v>2345</v>
      </c>
      <c r="B94" s="4" t="s">
        <v>13</v>
      </c>
      <c r="C94" s="5">
        <v>1234567890</v>
      </c>
      <c r="D94" s="4" t="s">
        <v>8</v>
      </c>
      <c r="E94" s="4" t="s">
        <v>10</v>
      </c>
      <c r="F94" s="6">
        <v>45736</v>
      </c>
      <c r="G94" s="7">
        <v>0.77641203703703698</v>
      </c>
    </row>
    <row r="95" spans="1:7" ht="14.25" customHeight="1" x14ac:dyDescent="0.3">
      <c r="A95" s="3">
        <v>2345</v>
      </c>
      <c r="B95" s="4" t="s">
        <v>13</v>
      </c>
      <c r="C95" s="5">
        <v>1234567890</v>
      </c>
      <c r="D95" s="4" t="s">
        <v>8</v>
      </c>
      <c r="E95" s="4" t="s">
        <v>9</v>
      </c>
      <c r="F95" s="6">
        <v>45737</v>
      </c>
      <c r="G95" s="7">
        <v>0.32734953703703706</v>
      </c>
    </row>
    <row r="96" spans="1:7" ht="14.25" customHeight="1" x14ac:dyDescent="0.3">
      <c r="A96" s="3">
        <v>2345</v>
      </c>
      <c r="B96" s="4" t="s">
        <v>13</v>
      </c>
      <c r="C96" s="5">
        <v>1234567890</v>
      </c>
      <c r="D96" s="4" t="s">
        <v>8</v>
      </c>
      <c r="E96" s="4" t="s">
        <v>11</v>
      </c>
      <c r="F96" s="6">
        <v>45737</v>
      </c>
      <c r="G96" s="7">
        <v>0.55180555555555555</v>
      </c>
    </row>
    <row r="97" spans="1:7" ht="14.25" customHeight="1" x14ac:dyDescent="0.3">
      <c r="A97" s="3">
        <v>2345</v>
      </c>
      <c r="B97" s="4" t="s">
        <v>13</v>
      </c>
      <c r="C97" s="5">
        <v>1234567890</v>
      </c>
      <c r="D97" s="4" t="s">
        <v>8</v>
      </c>
      <c r="E97" s="4" t="s">
        <v>12</v>
      </c>
      <c r="F97" s="6">
        <v>45737</v>
      </c>
      <c r="G97" s="7">
        <v>0.57248842592592597</v>
      </c>
    </row>
    <row r="98" spans="1:7" ht="14.25" customHeight="1" x14ac:dyDescent="0.3">
      <c r="A98" s="3">
        <v>2345</v>
      </c>
      <c r="B98" s="4" t="s">
        <v>13</v>
      </c>
      <c r="C98" s="5">
        <v>1234567890</v>
      </c>
      <c r="D98" s="4" t="s">
        <v>8</v>
      </c>
      <c r="E98" s="4" t="s">
        <v>10</v>
      </c>
      <c r="F98" s="6">
        <v>45737</v>
      </c>
      <c r="G98" s="7">
        <v>0.71478009259259256</v>
      </c>
    </row>
    <row r="99" spans="1:7" ht="14.25" customHeight="1" x14ac:dyDescent="0.3">
      <c r="A99" s="3">
        <v>2345</v>
      </c>
      <c r="B99" s="4" t="s">
        <v>13</v>
      </c>
      <c r="C99" s="5">
        <v>1234567890</v>
      </c>
      <c r="D99" s="4" t="s">
        <v>8</v>
      </c>
      <c r="E99" s="4" t="s">
        <v>9</v>
      </c>
      <c r="F99" s="6">
        <v>45740</v>
      </c>
      <c r="G99" s="7">
        <v>0.33141203703703703</v>
      </c>
    </row>
    <row r="100" spans="1:7" ht="14.25" customHeight="1" x14ac:dyDescent="0.3">
      <c r="A100" s="3">
        <v>2345</v>
      </c>
      <c r="B100" s="4" t="s">
        <v>13</v>
      </c>
      <c r="C100" s="5">
        <v>1234567890</v>
      </c>
      <c r="D100" s="4" t="s">
        <v>8</v>
      </c>
      <c r="E100" s="4" t="s">
        <v>11</v>
      </c>
      <c r="F100" s="6">
        <v>45740</v>
      </c>
      <c r="G100" s="7">
        <v>0.54843750000000002</v>
      </c>
    </row>
    <row r="101" spans="1:7" ht="14.25" customHeight="1" x14ac:dyDescent="0.3">
      <c r="A101" s="3">
        <v>2345</v>
      </c>
      <c r="B101" s="4" t="s">
        <v>13</v>
      </c>
      <c r="C101" s="5">
        <v>1234567890</v>
      </c>
      <c r="D101" s="4" t="s">
        <v>8</v>
      </c>
      <c r="E101" s="4" t="s">
        <v>12</v>
      </c>
      <c r="F101" s="6">
        <v>45740</v>
      </c>
      <c r="G101" s="7">
        <v>0.57643518518518522</v>
      </c>
    </row>
    <row r="102" spans="1:7" ht="14.25" customHeight="1" x14ac:dyDescent="0.3">
      <c r="A102" s="3">
        <v>2345</v>
      </c>
      <c r="B102" s="4" t="s">
        <v>13</v>
      </c>
      <c r="C102" s="5">
        <v>1234567890</v>
      </c>
      <c r="D102" s="4" t="s">
        <v>8</v>
      </c>
      <c r="E102" s="4" t="s">
        <v>10</v>
      </c>
      <c r="F102" s="6">
        <v>45740</v>
      </c>
      <c r="G102" s="7">
        <v>0.73347222222222219</v>
      </c>
    </row>
    <row r="103" spans="1:7" ht="14.25" customHeight="1" x14ac:dyDescent="0.3">
      <c r="A103" s="3">
        <v>2345</v>
      </c>
      <c r="B103" s="4" t="s">
        <v>13</v>
      </c>
      <c r="C103" s="5">
        <v>1234567890</v>
      </c>
      <c r="D103" s="4" t="s">
        <v>8</v>
      </c>
      <c r="E103" s="4" t="s">
        <v>9</v>
      </c>
      <c r="F103" s="6">
        <v>45741</v>
      </c>
      <c r="G103" s="7">
        <v>0.33114583333333331</v>
      </c>
    </row>
    <row r="104" spans="1:7" ht="14.25" customHeight="1" x14ac:dyDescent="0.3">
      <c r="A104" s="3">
        <v>2345</v>
      </c>
      <c r="B104" s="4" t="s">
        <v>13</v>
      </c>
      <c r="C104" s="5">
        <v>1234567890</v>
      </c>
      <c r="D104" s="4" t="s">
        <v>8</v>
      </c>
      <c r="E104" s="4" t="s">
        <v>11</v>
      </c>
      <c r="F104" s="6">
        <v>45741</v>
      </c>
      <c r="G104" s="7">
        <v>0.54740740740740745</v>
      </c>
    </row>
    <row r="105" spans="1:7" ht="14.25" customHeight="1" x14ac:dyDescent="0.3">
      <c r="A105" s="3">
        <v>2345</v>
      </c>
      <c r="B105" s="4" t="s">
        <v>13</v>
      </c>
      <c r="C105" s="5">
        <v>1234567890</v>
      </c>
      <c r="D105" s="4" t="s">
        <v>8</v>
      </c>
      <c r="E105" s="4" t="s">
        <v>12</v>
      </c>
      <c r="F105" s="6">
        <v>45741</v>
      </c>
      <c r="G105" s="7">
        <v>0.57614583333333336</v>
      </c>
    </row>
    <row r="106" spans="1:7" ht="14.25" customHeight="1" x14ac:dyDescent="0.3">
      <c r="A106" s="3">
        <v>2345</v>
      </c>
      <c r="B106" s="4" t="s">
        <v>13</v>
      </c>
      <c r="C106" s="5">
        <v>1234567890</v>
      </c>
      <c r="D106" s="4" t="s">
        <v>8</v>
      </c>
      <c r="E106" s="4" t="s">
        <v>10</v>
      </c>
      <c r="F106" s="6">
        <v>45741</v>
      </c>
      <c r="G106" s="7">
        <v>0.76733796296296297</v>
      </c>
    </row>
    <row r="107" spans="1:7" ht="14.25" customHeight="1" x14ac:dyDescent="0.3">
      <c r="A107" s="3">
        <v>2345</v>
      </c>
      <c r="B107" s="4" t="s">
        <v>13</v>
      </c>
      <c r="C107" s="5">
        <v>1234567890</v>
      </c>
      <c r="D107" s="4" t="s">
        <v>8</v>
      </c>
      <c r="E107" s="4" t="s">
        <v>9</v>
      </c>
      <c r="F107" s="6">
        <v>45742</v>
      </c>
      <c r="G107" s="7">
        <v>0.33248842592592592</v>
      </c>
    </row>
    <row r="108" spans="1:7" ht="14.25" customHeight="1" x14ac:dyDescent="0.3">
      <c r="A108" s="3">
        <v>2345</v>
      </c>
      <c r="B108" s="4" t="s">
        <v>13</v>
      </c>
      <c r="C108" s="5">
        <v>1234567890</v>
      </c>
      <c r="D108" s="4" t="s">
        <v>8</v>
      </c>
      <c r="E108" s="4" t="s">
        <v>11</v>
      </c>
      <c r="F108" s="6">
        <v>45742</v>
      </c>
      <c r="G108" s="7">
        <v>0.54672453703703705</v>
      </c>
    </row>
    <row r="109" spans="1:7" ht="14.25" customHeight="1" x14ac:dyDescent="0.3">
      <c r="A109" s="3">
        <v>2345</v>
      </c>
      <c r="B109" s="4" t="s">
        <v>13</v>
      </c>
      <c r="C109" s="5">
        <v>1234567890</v>
      </c>
      <c r="D109" s="4" t="s">
        <v>8</v>
      </c>
      <c r="E109" s="4" t="s">
        <v>12</v>
      </c>
      <c r="F109" s="6">
        <v>45742</v>
      </c>
      <c r="G109" s="7">
        <v>0.58825231481481477</v>
      </c>
    </row>
    <row r="110" spans="1:7" ht="14.25" customHeight="1" x14ac:dyDescent="0.3">
      <c r="A110" s="3">
        <v>2345</v>
      </c>
      <c r="B110" s="4" t="s">
        <v>13</v>
      </c>
      <c r="C110" s="5">
        <v>1234567890</v>
      </c>
      <c r="D110" s="4" t="s">
        <v>8</v>
      </c>
      <c r="E110" s="4" t="s">
        <v>10</v>
      </c>
      <c r="F110" s="6">
        <v>45742</v>
      </c>
      <c r="G110" s="7">
        <v>0.73273148148148148</v>
      </c>
    </row>
    <row r="111" spans="1:7" ht="14.25" customHeight="1" x14ac:dyDescent="0.3">
      <c r="A111" s="3">
        <v>2345</v>
      </c>
      <c r="B111" s="4" t="s">
        <v>13</v>
      </c>
      <c r="C111" s="5">
        <v>1234567890</v>
      </c>
      <c r="D111" s="4" t="s">
        <v>8</v>
      </c>
      <c r="E111" s="4" t="s">
        <v>9</v>
      </c>
      <c r="F111" s="6">
        <v>45743</v>
      </c>
      <c r="G111" s="7">
        <v>0.33078703703703705</v>
      </c>
    </row>
    <row r="112" spans="1:7" ht="14.25" customHeight="1" x14ac:dyDescent="0.3">
      <c r="A112" s="3">
        <v>2345</v>
      </c>
      <c r="B112" s="4" t="s">
        <v>13</v>
      </c>
      <c r="C112" s="5">
        <v>1234567890</v>
      </c>
      <c r="D112" s="4" t="s">
        <v>8</v>
      </c>
      <c r="E112" s="4" t="s">
        <v>11</v>
      </c>
      <c r="F112" s="6">
        <v>45743</v>
      </c>
      <c r="G112" s="7">
        <v>0.54781250000000004</v>
      </c>
    </row>
    <row r="113" spans="1:7" ht="14.25" customHeight="1" x14ac:dyDescent="0.3">
      <c r="A113" s="3">
        <v>2345</v>
      </c>
      <c r="B113" s="4" t="s">
        <v>13</v>
      </c>
      <c r="C113" s="5">
        <v>1234567890</v>
      </c>
      <c r="D113" s="4" t="s">
        <v>8</v>
      </c>
      <c r="E113" s="4" t="s">
        <v>12</v>
      </c>
      <c r="F113" s="6">
        <v>45743</v>
      </c>
      <c r="G113" s="7">
        <v>0.58564814814814814</v>
      </c>
    </row>
    <row r="114" spans="1:7" ht="14.25" customHeight="1" x14ac:dyDescent="0.3">
      <c r="A114" s="3">
        <v>2345</v>
      </c>
      <c r="B114" s="4" t="s">
        <v>13</v>
      </c>
      <c r="C114" s="5">
        <v>1234567890</v>
      </c>
      <c r="D114" s="4" t="s">
        <v>8</v>
      </c>
      <c r="E114" s="4" t="s">
        <v>10</v>
      </c>
      <c r="F114" s="6">
        <v>45743</v>
      </c>
      <c r="G114" s="7">
        <v>0.73995370370370372</v>
      </c>
    </row>
    <row r="115" spans="1:7" ht="14.25" customHeight="1" x14ac:dyDescent="0.3">
      <c r="A115" s="3">
        <v>2345</v>
      </c>
      <c r="B115" s="4" t="s">
        <v>13</v>
      </c>
      <c r="C115" s="5">
        <v>1234567890</v>
      </c>
      <c r="D115" s="4" t="s">
        <v>8</v>
      </c>
      <c r="E115" s="4" t="s">
        <v>9</v>
      </c>
      <c r="F115" s="6">
        <v>45744</v>
      </c>
      <c r="G115" s="7">
        <v>0.33251157407407406</v>
      </c>
    </row>
    <row r="116" spans="1:7" ht="14.25" customHeight="1" x14ac:dyDescent="0.3">
      <c r="A116" s="3">
        <v>2345</v>
      </c>
      <c r="B116" s="4" t="s">
        <v>13</v>
      </c>
      <c r="C116" s="5">
        <v>1234567890</v>
      </c>
      <c r="D116" s="4" t="s">
        <v>8</v>
      </c>
      <c r="E116" s="4" t="s">
        <v>11</v>
      </c>
      <c r="F116" s="6">
        <v>45744</v>
      </c>
      <c r="G116" s="7">
        <v>0.54256944444444444</v>
      </c>
    </row>
    <row r="117" spans="1:7" ht="14.25" customHeight="1" x14ac:dyDescent="0.3">
      <c r="A117" s="3">
        <v>2345</v>
      </c>
      <c r="B117" s="4" t="s">
        <v>13</v>
      </c>
      <c r="C117" s="5">
        <v>1234567890</v>
      </c>
      <c r="D117" s="4" t="s">
        <v>8</v>
      </c>
      <c r="E117" s="4" t="s">
        <v>12</v>
      </c>
      <c r="F117" s="6">
        <v>45744</v>
      </c>
      <c r="G117" s="7">
        <v>0.57449074074074069</v>
      </c>
    </row>
    <row r="118" spans="1:7" ht="14.25" customHeight="1" x14ac:dyDescent="0.3">
      <c r="A118" s="3">
        <v>2345</v>
      </c>
      <c r="B118" s="4" t="s">
        <v>13</v>
      </c>
      <c r="C118" s="5">
        <v>1234567890</v>
      </c>
      <c r="D118" s="4" t="s">
        <v>8</v>
      </c>
      <c r="E118" s="4" t="s">
        <v>10</v>
      </c>
      <c r="F118" s="6">
        <v>45744</v>
      </c>
      <c r="G118" s="7">
        <v>0.75990740740740736</v>
      </c>
    </row>
    <row r="119" spans="1:7" ht="14.25" customHeight="1" x14ac:dyDescent="0.3">
      <c r="A119" s="3">
        <v>2345</v>
      </c>
      <c r="B119" s="4" t="s">
        <v>13</v>
      </c>
      <c r="C119" s="5">
        <v>1234567890</v>
      </c>
      <c r="D119" s="4" t="s">
        <v>8</v>
      </c>
      <c r="E119" s="4" t="s">
        <v>9</v>
      </c>
      <c r="F119" s="6">
        <v>45747</v>
      </c>
      <c r="G119" s="7">
        <v>0.33319444444444446</v>
      </c>
    </row>
    <row r="120" spans="1:7" ht="14.25" customHeight="1" x14ac:dyDescent="0.3">
      <c r="A120" s="3">
        <v>2345</v>
      </c>
      <c r="B120" s="4" t="s">
        <v>13</v>
      </c>
      <c r="C120" s="5">
        <v>1234567890</v>
      </c>
      <c r="D120" s="4" t="s">
        <v>8</v>
      </c>
      <c r="E120" s="4" t="s">
        <v>11</v>
      </c>
      <c r="F120" s="6">
        <v>45747</v>
      </c>
      <c r="G120" s="7">
        <v>0.55334490740740738</v>
      </c>
    </row>
    <row r="121" spans="1:7" ht="14.25" customHeight="1" x14ac:dyDescent="0.3">
      <c r="A121" s="3">
        <v>2345</v>
      </c>
      <c r="B121" s="4" t="s">
        <v>13</v>
      </c>
      <c r="C121" s="5">
        <v>1234567890</v>
      </c>
      <c r="D121" s="4" t="s">
        <v>8</v>
      </c>
      <c r="E121" s="4" t="s">
        <v>12</v>
      </c>
      <c r="F121" s="6">
        <v>45747</v>
      </c>
      <c r="G121" s="7">
        <v>0.57645833333333329</v>
      </c>
    </row>
    <row r="122" spans="1:7" ht="14.25" customHeight="1" x14ac:dyDescent="0.3">
      <c r="A122" s="3">
        <v>2345</v>
      </c>
      <c r="B122" s="4" t="s">
        <v>13</v>
      </c>
      <c r="C122" s="5">
        <v>1234567890</v>
      </c>
      <c r="D122" s="4" t="s">
        <v>8</v>
      </c>
      <c r="E122" s="4" t="s">
        <v>10</v>
      </c>
      <c r="F122" s="6">
        <v>45747</v>
      </c>
      <c r="G122" s="7">
        <v>0.74237268518518518</v>
      </c>
    </row>
    <row r="123" spans="1:7" ht="14.25" customHeight="1" x14ac:dyDescent="0.3">
      <c r="A123" s="3">
        <v>3456</v>
      </c>
      <c r="B123" s="4" t="s">
        <v>14</v>
      </c>
      <c r="C123" s="5">
        <v>1234567890</v>
      </c>
      <c r="D123" s="4" t="s">
        <v>8</v>
      </c>
      <c r="E123" s="4" t="s">
        <v>9</v>
      </c>
      <c r="F123" s="6">
        <v>45721</v>
      </c>
      <c r="G123" s="7">
        <v>0.32866898148148149</v>
      </c>
    </row>
    <row r="124" spans="1:7" ht="14.25" customHeight="1" x14ac:dyDescent="0.3">
      <c r="A124" s="3">
        <v>3456</v>
      </c>
      <c r="B124" s="4" t="s">
        <v>14</v>
      </c>
      <c r="C124" s="5">
        <v>1234567890</v>
      </c>
      <c r="D124" s="4" t="s">
        <v>8</v>
      </c>
      <c r="E124" s="4" t="s">
        <v>10</v>
      </c>
      <c r="F124" s="6">
        <v>45721</v>
      </c>
      <c r="G124" s="7">
        <v>0.71289351851851857</v>
      </c>
    </row>
    <row r="125" spans="1:7" ht="14.25" customHeight="1" x14ac:dyDescent="0.3">
      <c r="A125" s="3">
        <v>3456</v>
      </c>
      <c r="B125" s="4" t="s">
        <v>14</v>
      </c>
      <c r="C125" s="5">
        <v>1234567890</v>
      </c>
      <c r="D125" s="4" t="s">
        <v>8</v>
      </c>
      <c r="E125" s="4" t="s">
        <v>9</v>
      </c>
      <c r="F125" s="6">
        <v>45722</v>
      </c>
      <c r="G125" s="7">
        <v>0.32775462962962965</v>
      </c>
    </row>
    <row r="126" spans="1:7" ht="14.25" customHeight="1" x14ac:dyDescent="0.3">
      <c r="A126" s="3">
        <v>3456</v>
      </c>
      <c r="B126" s="4" t="s">
        <v>14</v>
      </c>
      <c r="C126" s="5">
        <v>1234567890</v>
      </c>
      <c r="D126" s="4" t="s">
        <v>8</v>
      </c>
      <c r="E126" s="4" t="s">
        <v>10</v>
      </c>
      <c r="F126" s="6">
        <v>45722</v>
      </c>
      <c r="G126" s="7">
        <v>0.71682870370370366</v>
      </c>
    </row>
    <row r="127" spans="1:7" ht="14.25" customHeight="1" x14ac:dyDescent="0.3">
      <c r="A127" s="3">
        <v>3456</v>
      </c>
      <c r="B127" s="4" t="s">
        <v>14</v>
      </c>
      <c r="C127" s="5">
        <v>1234567890</v>
      </c>
      <c r="D127" s="4" t="s">
        <v>8</v>
      </c>
      <c r="E127" s="4" t="s">
        <v>9</v>
      </c>
      <c r="F127" s="6">
        <v>45723</v>
      </c>
      <c r="G127" s="7">
        <v>0.32990740740740743</v>
      </c>
    </row>
    <row r="128" spans="1:7" ht="14.25" customHeight="1" x14ac:dyDescent="0.3">
      <c r="A128" s="3">
        <v>3456</v>
      </c>
      <c r="B128" s="4" t="s">
        <v>14</v>
      </c>
      <c r="C128" s="5">
        <v>1234567890</v>
      </c>
      <c r="D128" s="4" t="s">
        <v>8</v>
      </c>
      <c r="E128" s="4" t="s">
        <v>10</v>
      </c>
      <c r="F128" s="6">
        <v>45723</v>
      </c>
      <c r="G128" s="7">
        <v>0.71450231481481485</v>
      </c>
    </row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46B8A-BEDD-446F-B8A5-33B117609735}">
  <sheetPr>
    <outlinePr summaryBelow="0" summaryRight="0"/>
  </sheetPr>
  <dimension ref="A1:I121"/>
  <sheetViews>
    <sheetView workbookViewId="0">
      <selection activeCell="A2" sqref="A2"/>
    </sheetView>
  </sheetViews>
  <sheetFormatPr baseColWidth="10" defaultColWidth="14.44140625" defaultRowHeight="15" customHeight="1" x14ac:dyDescent="0.3"/>
  <cols>
    <col min="1" max="1" width="40.33203125" customWidth="1"/>
    <col min="2" max="2" width="12" customWidth="1"/>
    <col min="3" max="3" width="16.109375" customWidth="1"/>
    <col min="4" max="4" width="9" customWidth="1"/>
    <col min="5" max="6" width="16.109375" customWidth="1"/>
    <col min="7" max="7" width="15.6640625" customWidth="1"/>
    <col min="8" max="8" width="16.109375" customWidth="1"/>
    <col min="9" max="9" width="12.5546875" customWidth="1"/>
  </cols>
  <sheetData>
    <row r="1" spans="1:9" ht="14.4" x14ac:dyDescent="0.3">
      <c r="A1" s="17" t="s">
        <v>1</v>
      </c>
      <c r="B1" s="8" t="s">
        <v>5</v>
      </c>
      <c r="C1" s="8" t="s">
        <v>21</v>
      </c>
      <c r="D1" s="8" t="s">
        <v>15</v>
      </c>
      <c r="E1" s="8" t="s">
        <v>22</v>
      </c>
      <c r="F1" s="8" t="s">
        <v>23</v>
      </c>
      <c r="G1" s="8" t="s">
        <v>16</v>
      </c>
      <c r="H1" s="8" t="s">
        <v>24</v>
      </c>
      <c r="I1" s="8" t="s">
        <v>17</v>
      </c>
    </row>
    <row r="2" spans="1:9" ht="14.4" x14ac:dyDescent="0.3">
      <c r="A2" s="18" t="s">
        <v>7</v>
      </c>
      <c r="B2" s="10">
        <v>45901</v>
      </c>
      <c r="C2" s="11">
        <v>0.31957175926072523</v>
      </c>
      <c r="D2" s="11" t="str">
        <f t="shared" ref="D2:D121" si="0">IF(OR(C2="",C2="Falta marcación",C2="Día de descanso",C2="Horas extras",C2="Permiso",C2="Feriado"),"",IF(C2&gt;TIME(8,0,59),C2-TIME(8,0,0),""))</f>
        <v/>
      </c>
      <c r="E2" s="12" t="s">
        <v>18</v>
      </c>
      <c r="F2" s="12" t="s">
        <v>18</v>
      </c>
      <c r="G2" s="11" t="str">
        <f t="shared" ref="G2:G121" si="1">IF(OR(E2="Falta marcación",E2="Horas extras",F2="Falta marcación",F2="Horas extras"),"Falta marcación",IF(OR(E2="Día de descanso",F2="Día de descanso",E2="Permiso",F2="Permiso",E2="Feriado",F2="Feriado"),"",IF(AND(E2&lt;&gt;"",E2&lt;&gt;"Falta marcación",F2&lt;&gt;"",F2&lt;&gt;"Falta marcación"),F2-E2,"Falta marcación")))</f>
        <v>Falta marcación</v>
      </c>
      <c r="H2" s="11">
        <v>0.73481481481576338</v>
      </c>
      <c r="I2" s="9">
        <f t="shared" ref="I2:I6" si="2">IF(AND(C2&lt;&gt;"",C2&lt;&gt;"Falta marcación",C2&lt;&gt;"Día de descanso",C2&lt;&gt;"Horas extras",C2&lt;&gt;"Permiso",C2&lt;&gt;"Feriado",H2&lt;&gt;"",H2&lt;&gt;"Falta marcación",H2&lt;&gt;"Día de descanso",H2&lt;&gt;"Horas extras",H2&lt;&gt;"Permiso",H2&lt;&gt;"Feriado"),1,0)</f>
        <v>1</v>
      </c>
    </row>
    <row r="3" spans="1:9" ht="14.4" x14ac:dyDescent="0.3">
      <c r="A3" s="18" t="s">
        <v>7</v>
      </c>
      <c r="B3" s="10">
        <v>45902</v>
      </c>
      <c r="C3" s="11">
        <v>0.32730324074145756</v>
      </c>
      <c r="D3" s="11" t="str">
        <f t="shared" si="0"/>
        <v/>
      </c>
      <c r="E3" s="12" t="s">
        <v>18</v>
      </c>
      <c r="F3" s="12" t="s">
        <v>18</v>
      </c>
      <c r="G3" s="11" t="str">
        <f t="shared" si="1"/>
        <v>Falta marcación</v>
      </c>
      <c r="H3" s="11">
        <v>0.71182870370466844</v>
      </c>
      <c r="I3" s="9">
        <f t="shared" si="2"/>
        <v>1</v>
      </c>
    </row>
    <row r="4" spans="1:9" ht="14.4" x14ac:dyDescent="0.3">
      <c r="A4" s="18" t="s">
        <v>7</v>
      </c>
      <c r="B4" s="10">
        <v>45903</v>
      </c>
      <c r="C4" s="11">
        <v>0.31858796296364744</v>
      </c>
      <c r="D4" s="11" t="str">
        <f t="shared" si="0"/>
        <v/>
      </c>
      <c r="E4" s="12" t="s">
        <v>18</v>
      </c>
      <c r="F4" s="12" t="s">
        <v>18</v>
      </c>
      <c r="G4" s="11" t="str">
        <f t="shared" si="1"/>
        <v>Falta marcación</v>
      </c>
      <c r="H4" s="11">
        <v>0.77929398148262408</v>
      </c>
      <c r="I4" s="9">
        <f t="shared" si="2"/>
        <v>1</v>
      </c>
    </row>
    <row r="5" spans="1:9" ht="14.4" x14ac:dyDescent="0.3">
      <c r="A5" s="18" t="s">
        <v>7</v>
      </c>
      <c r="B5" s="10">
        <v>45904</v>
      </c>
      <c r="C5" s="11">
        <v>0.30171296296248329</v>
      </c>
      <c r="D5" s="11" t="str">
        <f t="shared" si="0"/>
        <v/>
      </c>
      <c r="E5" s="12" t="s">
        <v>18</v>
      </c>
      <c r="F5" s="12" t="s">
        <v>18</v>
      </c>
      <c r="G5" s="11" t="str">
        <f t="shared" si="1"/>
        <v>Falta marcación</v>
      </c>
      <c r="H5" s="11">
        <v>0.71931712963123573</v>
      </c>
      <c r="I5" s="9">
        <f t="shared" si="2"/>
        <v>1</v>
      </c>
    </row>
    <row r="6" spans="1:9" ht="14.4" x14ac:dyDescent="0.3">
      <c r="A6" s="18" t="s">
        <v>7</v>
      </c>
      <c r="B6" s="10">
        <v>45905</v>
      </c>
      <c r="C6" s="11">
        <v>0.30885416666569654</v>
      </c>
      <c r="D6" s="11" t="str">
        <f t="shared" si="0"/>
        <v/>
      </c>
      <c r="E6" s="12" t="s">
        <v>18</v>
      </c>
      <c r="F6" s="12" t="s">
        <v>18</v>
      </c>
      <c r="G6" s="11" t="str">
        <f t="shared" si="1"/>
        <v>Falta marcación</v>
      </c>
      <c r="H6" s="11">
        <v>0.72472222222131677</v>
      </c>
      <c r="I6" s="9">
        <f t="shared" si="2"/>
        <v>1</v>
      </c>
    </row>
    <row r="7" spans="1:9" ht="14.4" x14ac:dyDescent="0.3">
      <c r="A7" s="18" t="s">
        <v>7</v>
      </c>
      <c r="B7" s="10">
        <v>45906</v>
      </c>
      <c r="C7" s="13">
        <v>0.32962962962847087</v>
      </c>
      <c r="D7" s="11" t="str">
        <f t="shared" si="0"/>
        <v/>
      </c>
      <c r="E7" s="13" t="s">
        <v>25</v>
      </c>
      <c r="F7" s="13" t="s">
        <v>25</v>
      </c>
      <c r="G7" s="11" t="str">
        <f t="shared" si="1"/>
        <v>Falta marcación</v>
      </c>
      <c r="H7" s="13">
        <v>0.71576388888934162</v>
      </c>
      <c r="I7" s="9">
        <v>0</v>
      </c>
    </row>
    <row r="8" spans="1:9" ht="14.4" x14ac:dyDescent="0.3">
      <c r="A8" s="18" t="s">
        <v>7</v>
      </c>
      <c r="B8" s="10">
        <v>45907</v>
      </c>
      <c r="C8" s="14" t="s">
        <v>26</v>
      </c>
      <c r="D8" s="11" t="str">
        <f t="shared" si="0"/>
        <v/>
      </c>
      <c r="E8" s="14" t="s">
        <v>26</v>
      </c>
      <c r="F8" s="14" t="s">
        <v>26</v>
      </c>
      <c r="G8" s="11" t="str">
        <f t="shared" si="1"/>
        <v/>
      </c>
      <c r="H8" s="14" t="s">
        <v>26</v>
      </c>
      <c r="I8" s="9">
        <v>0</v>
      </c>
    </row>
    <row r="9" spans="1:9" ht="14.4" x14ac:dyDescent="0.3">
      <c r="A9" s="18" t="s">
        <v>7</v>
      </c>
      <c r="B9" s="10">
        <v>45908</v>
      </c>
      <c r="C9" s="11">
        <v>0.29491898148262408</v>
      </c>
      <c r="D9" s="11" t="str">
        <f t="shared" si="0"/>
        <v/>
      </c>
      <c r="E9" s="12" t="s">
        <v>18</v>
      </c>
      <c r="F9" s="12" t="s">
        <v>18</v>
      </c>
      <c r="G9" s="11" t="str">
        <f t="shared" si="1"/>
        <v>Falta marcación</v>
      </c>
      <c r="H9" s="11">
        <v>0.71451388888817746</v>
      </c>
      <c r="I9" s="9">
        <f t="shared" ref="I9:I13" si="3">IF(AND(C9&lt;&gt;"",C9&lt;&gt;"Falta marcación",C9&lt;&gt;"Día de descanso",C9&lt;&gt;"Horas extras",C9&lt;&gt;"Permiso",C9&lt;&gt;"Feriado",H9&lt;&gt;"",H9&lt;&gt;"Falta marcación",H9&lt;&gt;"Día de descanso",H9&lt;&gt;"Horas extras",H9&lt;&gt;"Permiso",H9&lt;&gt;"Feriado"),1,0)</f>
        <v>1</v>
      </c>
    </row>
    <row r="10" spans="1:9" ht="14.4" x14ac:dyDescent="0.3">
      <c r="A10" s="18" t="s">
        <v>7</v>
      </c>
      <c r="B10" s="10">
        <v>45909</v>
      </c>
      <c r="C10" s="11">
        <v>0.31770833333212067</v>
      </c>
      <c r="D10" s="11" t="str">
        <f t="shared" si="0"/>
        <v/>
      </c>
      <c r="E10" s="12" t="s">
        <v>18</v>
      </c>
      <c r="F10" s="12" t="s">
        <v>18</v>
      </c>
      <c r="G10" s="11" t="str">
        <f t="shared" si="1"/>
        <v>Falta marcación</v>
      </c>
      <c r="H10" s="11">
        <v>0.71034722222248092</v>
      </c>
      <c r="I10" s="9">
        <f t="shared" si="3"/>
        <v>1</v>
      </c>
    </row>
    <row r="11" spans="1:9" ht="14.4" x14ac:dyDescent="0.3">
      <c r="A11" s="18" t="s">
        <v>7</v>
      </c>
      <c r="B11" s="10">
        <v>45910</v>
      </c>
      <c r="C11" s="11">
        <v>0.30620370370525052</v>
      </c>
      <c r="D11" s="11" t="str">
        <f t="shared" si="0"/>
        <v/>
      </c>
      <c r="E11" s="12" t="s">
        <v>18</v>
      </c>
      <c r="F11" s="12" t="s">
        <v>18</v>
      </c>
      <c r="G11" s="11" t="str">
        <f t="shared" si="1"/>
        <v>Falta marcación</v>
      </c>
      <c r="H11" s="11">
        <v>0.80885416666569654</v>
      </c>
      <c r="I11" s="9">
        <f t="shared" si="3"/>
        <v>1</v>
      </c>
    </row>
    <row r="12" spans="1:9" ht="14.4" x14ac:dyDescent="0.3">
      <c r="A12" s="18" t="s">
        <v>7</v>
      </c>
      <c r="B12" s="10">
        <v>45911</v>
      </c>
      <c r="C12" s="11">
        <v>0.78895833333444898</v>
      </c>
      <c r="D12" s="12">
        <f t="shared" si="0"/>
        <v>0.45562500000111567</v>
      </c>
      <c r="E12" s="12" t="s">
        <v>18</v>
      </c>
      <c r="F12" s="12" t="s">
        <v>18</v>
      </c>
      <c r="G12" s="11" t="str">
        <f t="shared" si="1"/>
        <v>Falta marcación</v>
      </c>
      <c r="H12" s="11">
        <v>0.87559027777751908</v>
      </c>
      <c r="I12" s="9">
        <f t="shared" si="3"/>
        <v>1</v>
      </c>
    </row>
    <row r="13" spans="1:9" ht="14.4" x14ac:dyDescent="0.3">
      <c r="A13" s="18" t="s">
        <v>7</v>
      </c>
      <c r="B13" s="10">
        <v>45912</v>
      </c>
      <c r="C13" s="11">
        <v>0.32412037036920083</v>
      </c>
      <c r="D13" s="11" t="str">
        <f t="shared" si="0"/>
        <v/>
      </c>
      <c r="E13" s="12" t="s">
        <v>18</v>
      </c>
      <c r="F13" s="12" t="s">
        <v>18</v>
      </c>
      <c r="G13" s="11" t="str">
        <f t="shared" si="1"/>
        <v>Falta marcación</v>
      </c>
      <c r="H13" s="11">
        <v>0.74417824074043892</v>
      </c>
      <c r="I13" s="9">
        <f t="shared" si="3"/>
        <v>1</v>
      </c>
    </row>
    <row r="14" spans="1:9" ht="14.4" x14ac:dyDescent="0.3">
      <c r="A14" s="18" t="s">
        <v>7</v>
      </c>
      <c r="B14" s="10">
        <v>45913</v>
      </c>
      <c r="C14" s="13">
        <v>0.330740740741021</v>
      </c>
      <c r="D14" s="11" t="str">
        <f t="shared" si="0"/>
        <v/>
      </c>
      <c r="E14" s="13" t="s">
        <v>25</v>
      </c>
      <c r="F14" s="13" t="s">
        <v>25</v>
      </c>
      <c r="G14" s="11" t="str">
        <f t="shared" si="1"/>
        <v>Falta marcación</v>
      </c>
      <c r="H14" s="13">
        <v>0.71331018518685596</v>
      </c>
      <c r="I14" s="9">
        <v>0</v>
      </c>
    </row>
    <row r="15" spans="1:9" ht="14.4" x14ac:dyDescent="0.3">
      <c r="A15" s="18" t="s">
        <v>7</v>
      </c>
      <c r="B15" s="10">
        <v>45914</v>
      </c>
      <c r="C15" s="14" t="s">
        <v>26</v>
      </c>
      <c r="D15" s="11" t="str">
        <f t="shared" si="0"/>
        <v/>
      </c>
      <c r="E15" s="14" t="s">
        <v>26</v>
      </c>
      <c r="F15" s="14" t="s">
        <v>26</v>
      </c>
      <c r="G15" s="11" t="str">
        <f t="shared" si="1"/>
        <v/>
      </c>
      <c r="H15" s="14" t="s">
        <v>26</v>
      </c>
      <c r="I15" s="9">
        <v>0</v>
      </c>
    </row>
    <row r="16" spans="1:9" ht="14.4" x14ac:dyDescent="0.3">
      <c r="A16" s="18" t="s">
        <v>7</v>
      </c>
      <c r="B16" s="10">
        <v>45915</v>
      </c>
      <c r="C16" s="11">
        <v>0.32653935185226146</v>
      </c>
      <c r="D16" s="11" t="str">
        <f t="shared" si="0"/>
        <v/>
      </c>
      <c r="E16" s="12" t="s">
        <v>18</v>
      </c>
      <c r="F16" s="12" t="s">
        <v>18</v>
      </c>
      <c r="G16" s="11" t="str">
        <f t="shared" si="1"/>
        <v>Falta marcación</v>
      </c>
      <c r="H16" s="11">
        <v>0.70967592592569417</v>
      </c>
      <c r="I16" s="9">
        <f t="shared" ref="I16:I20" si="4">IF(AND(C16&lt;&gt;"",C16&lt;&gt;"Falta marcación",C16&lt;&gt;"Día de descanso",C16&lt;&gt;"Horas extras",C16&lt;&gt;"Permiso",C16&lt;&gt;"Feriado",H16&lt;&gt;"",H16&lt;&gt;"Falta marcación",H16&lt;&gt;"Día de descanso",H16&lt;&gt;"Horas extras",H16&lt;&gt;"Permiso",H16&lt;&gt;"Feriado"),1,0)</f>
        <v>1</v>
      </c>
    </row>
    <row r="17" spans="1:9" ht="14.4" x14ac:dyDescent="0.3">
      <c r="A17" s="18" t="s">
        <v>7</v>
      </c>
      <c r="B17" s="10">
        <v>45916</v>
      </c>
      <c r="C17" s="11">
        <v>0.32325231481445371</v>
      </c>
      <c r="D17" s="11" t="str">
        <f t="shared" si="0"/>
        <v/>
      </c>
      <c r="E17" s="12" t="s">
        <v>18</v>
      </c>
      <c r="F17" s="12" t="s">
        <v>18</v>
      </c>
      <c r="G17" s="11" t="str">
        <f t="shared" si="1"/>
        <v>Falta marcación</v>
      </c>
      <c r="H17" s="11">
        <v>0.73469907407343271</v>
      </c>
      <c r="I17" s="9">
        <f t="shared" si="4"/>
        <v>1</v>
      </c>
    </row>
    <row r="18" spans="1:9" ht="14.4" x14ac:dyDescent="0.3">
      <c r="A18" s="18" t="s">
        <v>7</v>
      </c>
      <c r="B18" s="10">
        <v>45917</v>
      </c>
      <c r="C18" s="11">
        <v>0.32388888888817746</v>
      </c>
      <c r="D18" s="11" t="str">
        <f t="shared" si="0"/>
        <v/>
      </c>
      <c r="E18" s="12" t="s">
        <v>18</v>
      </c>
      <c r="F18" s="12" t="s">
        <v>18</v>
      </c>
      <c r="G18" s="11" t="str">
        <f t="shared" si="1"/>
        <v>Falta marcación</v>
      </c>
      <c r="H18" s="11">
        <v>0.54409722222044365</v>
      </c>
      <c r="I18" s="9">
        <f t="shared" si="4"/>
        <v>1</v>
      </c>
    </row>
    <row r="19" spans="1:9" ht="14.4" x14ac:dyDescent="0.3">
      <c r="A19" s="18" t="s">
        <v>7</v>
      </c>
      <c r="B19" s="10">
        <v>45918</v>
      </c>
      <c r="C19" s="12" t="s">
        <v>18</v>
      </c>
      <c r="D19" s="11" t="str">
        <f t="shared" si="0"/>
        <v/>
      </c>
      <c r="E19" s="12" t="s">
        <v>18</v>
      </c>
      <c r="F19" s="12" t="s">
        <v>18</v>
      </c>
      <c r="G19" s="11" t="str">
        <f t="shared" si="1"/>
        <v>Falta marcación</v>
      </c>
      <c r="H19" s="12" t="s">
        <v>18</v>
      </c>
      <c r="I19" s="9">
        <f t="shared" si="4"/>
        <v>0</v>
      </c>
    </row>
    <row r="20" spans="1:9" ht="14.4" x14ac:dyDescent="0.3">
      <c r="A20" s="18" t="s">
        <v>7</v>
      </c>
      <c r="B20" s="10">
        <v>45919</v>
      </c>
      <c r="C20" s="12" t="s">
        <v>18</v>
      </c>
      <c r="D20" s="11" t="str">
        <f t="shared" si="0"/>
        <v/>
      </c>
      <c r="E20" s="12" t="s">
        <v>18</v>
      </c>
      <c r="F20" s="12" t="s">
        <v>18</v>
      </c>
      <c r="G20" s="11" t="str">
        <f t="shared" si="1"/>
        <v>Falta marcación</v>
      </c>
      <c r="H20" s="12" t="s">
        <v>18</v>
      </c>
      <c r="I20" s="9">
        <f t="shared" si="4"/>
        <v>0</v>
      </c>
    </row>
    <row r="21" spans="1:9" ht="14.4" x14ac:dyDescent="0.3">
      <c r="A21" s="18" t="s">
        <v>7</v>
      </c>
      <c r="B21" s="10">
        <v>45920</v>
      </c>
      <c r="C21" s="14" t="s">
        <v>26</v>
      </c>
      <c r="D21" s="11" t="str">
        <f t="shared" si="0"/>
        <v/>
      </c>
      <c r="E21" s="14" t="s">
        <v>26</v>
      </c>
      <c r="F21" s="14" t="s">
        <v>26</v>
      </c>
      <c r="G21" s="11" t="str">
        <f t="shared" si="1"/>
        <v/>
      </c>
      <c r="H21" s="14" t="s">
        <v>26</v>
      </c>
      <c r="I21" s="9">
        <v>0</v>
      </c>
    </row>
    <row r="22" spans="1:9" ht="14.4" x14ac:dyDescent="0.3">
      <c r="A22" s="18" t="s">
        <v>7</v>
      </c>
      <c r="B22" s="10">
        <v>45921</v>
      </c>
      <c r="C22" s="14" t="s">
        <v>26</v>
      </c>
      <c r="D22" s="11" t="str">
        <f t="shared" si="0"/>
        <v/>
      </c>
      <c r="E22" s="14" t="s">
        <v>26</v>
      </c>
      <c r="F22" s="14" t="s">
        <v>26</v>
      </c>
      <c r="G22" s="11" t="str">
        <f t="shared" si="1"/>
        <v/>
      </c>
      <c r="H22" s="14" t="s">
        <v>26</v>
      </c>
      <c r="I22" s="9">
        <v>0</v>
      </c>
    </row>
    <row r="23" spans="1:9" ht="14.4" x14ac:dyDescent="0.3">
      <c r="A23" s="18" t="s">
        <v>7</v>
      </c>
      <c r="B23" s="10">
        <v>45922</v>
      </c>
      <c r="C23" s="15" t="s">
        <v>27</v>
      </c>
      <c r="D23" s="11" t="str">
        <f t="shared" si="0"/>
        <v/>
      </c>
      <c r="E23" s="15" t="s">
        <v>27</v>
      </c>
      <c r="F23" s="15" t="s">
        <v>27</v>
      </c>
      <c r="G23" s="11" t="str">
        <f t="shared" si="1"/>
        <v/>
      </c>
      <c r="H23" s="15" t="s">
        <v>27</v>
      </c>
      <c r="I23" s="9">
        <f t="shared" ref="I23:I27" si="5">IF(AND(C23&lt;&gt;"",C23&lt;&gt;"Falta marcación",C23&lt;&gt;"Día de descanso",C23&lt;&gt;"Horas extras",C23&lt;&gt;"Permiso",C23&lt;&gt;"Feriado",H23&lt;&gt;"",H23&lt;&gt;"Falta marcación",H23&lt;&gt;"Día de descanso",H23&lt;&gt;"Horas extras",H23&lt;&gt;"Permiso",H23&lt;&gt;"Feriado"),1,0)</f>
        <v>0</v>
      </c>
    </row>
    <row r="24" spans="1:9" ht="14.4" x14ac:dyDescent="0.3">
      <c r="A24" s="18" t="s">
        <v>7</v>
      </c>
      <c r="B24" s="10">
        <v>45923</v>
      </c>
      <c r="C24" s="15" t="s">
        <v>27</v>
      </c>
      <c r="D24" s="11" t="str">
        <f t="shared" si="0"/>
        <v/>
      </c>
      <c r="E24" s="15" t="s">
        <v>27</v>
      </c>
      <c r="F24" s="15" t="s">
        <v>27</v>
      </c>
      <c r="G24" s="11" t="str">
        <f t="shared" si="1"/>
        <v/>
      </c>
      <c r="H24" s="15" t="s">
        <v>27</v>
      </c>
      <c r="I24" s="9">
        <f t="shared" si="5"/>
        <v>0</v>
      </c>
    </row>
    <row r="25" spans="1:9" ht="14.4" x14ac:dyDescent="0.3">
      <c r="A25" s="18" t="s">
        <v>7</v>
      </c>
      <c r="B25" s="10">
        <v>45924</v>
      </c>
      <c r="C25" s="15" t="s">
        <v>27</v>
      </c>
      <c r="D25" s="11" t="str">
        <f t="shared" si="0"/>
        <v/>
      </c>
      <c r="E25" s="15" t="s">
        <v>27</v>
      </c>
      <c r="F25" s="15" t="s">
        <v>27</v>
      </c>
      <c r="G25" s="11" t="str">
        <f t="shared" si="1"/>
        <v/>
      </c>
      <c r="H25" s="15" t="s">
        <v>27</v>
      </c>
      <c r="I25" s="9">
        <f t="shared" si="5"/>
        <v>0</v>
      </c>
    </row>
    <row r="26" spans="1:9" ht="14.4" x14ac:dyDescent="0.3">
      <c r="A26" s="18" t="s">
        <v>7</v>
      </c>
      <c r="B26" s="10">
        <v>45925</v>
      </c>
      <c r="C26" s="15" t="s">
        <v>27</v>
      </c>
      <c r="D26" s="11" t="str">
        <f t="shared" si="0"/>
        <v/>
      </c>
      <c r="E26" s="15" t="s">
        <v>27</v>
      </c>
      <c r="F26" s="15" t="s">
        <v>27</v>
      </c>
      <c r="G26" s="11" t="str">
        <f t="shared" si="1"/>
        <v/>
      </c>
      <c r="H26" s="15" t="s">
        <v>27</v>
      </c>
      <c r="I26" s="9">
        <f t="shared" si="5"/>
        <v>0</v>
      </c>
    </row>
    <row r="27" spans="1:9" ht="14.4" x14ac:dyDescent="0.3">
      <c r="A27" s="18" t="s">
        <v>7</v>
      </c>
      <c r="B27" s="10">
        <v>45926</v>
      </c>
      <c r="C27" s="15" t="s">
        <v>27</v>
      </c>
      <c r="D27" s="11" t="str">
        <f t="shared" si="0"/>
        <v/>
      </c>
      <c r="E27" s="15" t="s">
        <v>27</v>
      </c>
      <c r="F27" s="15" t="s">
        <v>27</v>
      </c>
      <c r="G27" s="11" t="str">
        <f t="shared" si="1"/>
        <v/>
      </c>
      <c r="H27" s="15" t="s">
        <v>27</v>
      </c>
      <c r="I27" s="9">
        <f t="shared" si="5"/>
        <v>0</v>
      </c>
    </row>
    <row r="28" spans="1:9" ht="14.4" x14ac:dyDescent="0.3">
      <c r="A28" s="18" t="s">
        <v>7</v>
      </c>
      <c r="B28" s="10">
        <v>45927</v>
      </c>
      <c r="C28" s="15" t="s">
        <v>27</v>
      </c>
      <c r="D28" s="11" t="str">
        <f t="shared" si="0"/>
        <v/>
      </c>
      <c r="E28" s="15" t="s">
        <v>27</v>
      </c>
      <c r="F28" s="15" t="s">
        <v>27</v>
      </c>
      <c r="G28" s="11" t="str">
        <f t="shared" si="1"/>
        <v/>
      </c>
      <c r="H28" s="15" t="s">
        <v>27</v>
      </c>
      <c r="I28" s="9">
        <v>0</v>
      </c>
    </row>
    <row r="29" spans="1:9" ht="14.4" x14ac:dyDescent="0.3">
      <c r="A29" s="18" t="s">
        <v>7</v>
      </c>
      <c r="B29" s="10">
        <v>45928</v>
      </c>
      <c r="C29" s="15" t="s">
        <v>27</v>
      </c>
      <c r="D29" s="11" t="str">
        <f t="shared" si="0"/>
        <v/>
      </c>
      <c r="E29" s="15" t="s">
        <v>27</v>
      </c>
      <c r="F29" s="15" t="s">
        <v>27</v>
      </c>
      <c r="G29" s="11" t="str">
        <f t="shared" si="1"/>
        <v/>
      </c>
      <c r="H29" s="15" t="s">
        <v>27</v>
      </c>
      <c r="I29" s="9">
        <v>0</v>
      </c>
    </row>
    <row r="30" spans="1:9" ht="14.4" x14ac:dyDescent="0.3">
      <c r="A30" s="18" t="s">
        <v>7</v>
      </c>
      <c r="B30" s="10">
        <v>45929</v>
      </c>
      <c r="C30" s="15" t="s">
        <v>27</v>
      </c>
      <c r="D30" s="11" t="str">
        <f t="shared" si="0"/>
        <v/>
      </c>
      <c r="E30" s="15" t="s">
        <v>27</v>
      </c>
      <c r="F30" s="15" t="s">
        <v>27</v>
      </c>
      <c r="G30" s="11" t="str">
        <f t="shared" si="1"/>
        <v/>
      </c>
      <c r="H30" s="15" t="s">
        <v>27</v>
      </c>
      <c r="I30" s="9">
        <f t="shared" ref="I30:I31" si="6">IF(AND(C30&lt;&gt;"",C30&lt;&gt;"Falta marcación",C30&lt;&gt;"Día de descanso",C30&lt;&gt;"Horas extras",C30&lt;&gt;"Permiso",C30&lt;&gt;"Feriado",H30&lt;&gt;"",H30&lt;&gt;"Falta marcación",H30&lt;&gt;"Día de descanso",H30&lt;&gt;"Horas extras",H30&lt;&gt;"Permiso",H30&lt;&gt;"Feriado"),1,0)</f>
        <v>0</v>
      </c>
    </row>
    <row r="31" spans="1:9" ht="14.4" x14ac:dyDescent="0.3">
      <c r="A31" s="18" t="s">
        <v>7</v>
      </c>
      <c r="B31" s="10">
        <v>45930</v>
      </c>
      <c r="C31" s="15" t="s">
        <v>27</v>
      </c>
      <c r="D31" s="11" t="str">
        <f t="shared" si="0"/>
        <v/>
      </c>
      <c r="E31" s="15" t="s">
        <v>27</v>
      </c>
      <c r="F31" s="15" t="s">
        <v>27</v>
      </c>
      <c r="G31" s="11" t="str">
        <f t="shared" si="1"/>
        <v/>
      </c>
      <c r="H31" s="15" t="s">
        <v>27</v>
      </c>
      <c r="I31" s="9">
        <f t="shared" si="6"/>
        <v>0</v>
      </c>
    </row>
    <row r="32" spans="1:9" ht="14.4" x14ac:dyDescent="0.3">
      <c r="A32" s="18" t="s">
        <v>13</v>
      </c>
      <c r="B32" s="10">
        <v>45901</v>
      </c>
      <c r="C32" s="14" t="s">
        <v>26</v>
      </c>
      <c r="D32" s="11" t="str">
        <f t="shared" si="0"/>
        <v/>
      </c>
      <c r="E32" s="14" t="s">
        <v>26</v>
      </c>
      <c r="F32" s="14" t="s">
        <v>26</v>
      </c>
      <c r="G32" s="11" t="str">
        <f t="shared" si="1"/>
        <v/>
      </c>
      <c r="H32" s="14" t="s">
        <v>26</v>
      </c>
      <c r="I32" s="9">
        <v>0</v>
      </c>
    </row>
    <row r="33" spans="1:9" ht="14.4" x14ac:dyDescent="0.3">
      <c r="A33" s="18" t="s">
        <v>13</v>
      </c>
      <c r="B33" s="10">
        <v>45902</v>
      </c>
      <c r="C33" s="11">
        <v>0.3119212962956226</v>
      </c>
      <c r="D33" s="11" t="str">
        <f t="shared" si="0"/>
        <v/>
      </c>
      <c r="E33" s="12" t="s">
        <v>18</v>
      </c>
      <c r="F33" s="12" t="s">
        <v>18</v>
      </c>
      <c r="G33" s="11" t="str">
        <f t="shared" si="1"/>
        <v>Falta marcación</v>
      </c>
      <c r="H33" s="11">
        <v>0.7129398148135806</v>
      </c>
      <c r="I33" s="9">
        <f t="shared" ref="I33:I37" si="7">IF(AND(C33&lt;&gt;"",C33&lt;&gt;"Falta marcación",C33&lt;&gt;"Día de descanso",C33&lt;&gt;"Horas extras",C33&lt;&gt;"Permiso",C33&lt;&gt;"Feriado",H33&lt;&gt;"",H33&lt;&gt;"Falta marcación",H33&lt;&gt;"Día de descanso",H33&lt;&gt;"Horas extras",H33&lt;&gt;"Permiso",H33&lt;&gt;"Feriado"),1,0)</f>
        <v>1</v>
      </c>
    </row>
    <row r="34" spans="1:9" ht="14.4" x14ac:dyDescent="0.3">
      <c r="A34" s="18" t="s">
        <v>13</v>
      </c>
      <c r="B34" s="10">
        <v>45903</v>
      </c>
      <c r="C34" s="11">
        <v>0.32151620370495948</v>
      </c>
      <c r="D34" s="11" t="str">
        <f t="shared" si="0"/>
        <v/>
      </c>
      <c r="E34" s="12" t="s">
        <v>18</v>
      </c>
      <c r="F34" s="12" t="s">
        <v>18</v>
      </c>
      <c r="G34" s="11" t="str">
        <f t="shared" si="1"/>
        <v>Falta marcación</v>
      </c>
      <c r="H34" s="11">
        <v>0.7143518518532801</v>
      </c>
      <c r="I34" s="9">
        <f t="shared" si="7"/>
        <v>1</v>
      </c>
    </row>
    <row r="35" spans="1:9" ht="14.4" x14ac:dyDescent="0.3">
      <c r="A35" s="18" t="s">
        <v>13</v>
      </c>
      <c r="B35" s="10">
        <v>45904</v>
      </c>
      <c r="C35" s="11">
        <v>0.32171296296291985</v>
      </c>
      <c r="D35" s="11" t="str">
        <f t="shared" si="0"/>
        <v/>
      </c>
      <c r="E35" s="12" t="s">
        <v>18</v>
      </c>
      <c r="F35" s="12" t="s">
        <v>18</v>
      </c>
      <c r="G35" s="11" t="str">
        <f t="shared" si="1"/>
        <v>Falta marcación</v>
      </c>
      <c r="H35" s="11">
        <v>0.76263888888934162</v>
      </c>
      <c r="I35" s="9">
        <f t="shared" si="7"/>
        <v>1</v>
      </c>
    </row>
    <row r="36" spans="1:9" ht="14.4" x14ac:dyDescent="0.3">
      <c r="A36" s="18" t="s">
        <v>13</v>
      </c>
      <c r="B36" s="10">
        <v>45905</v>
      </c>
      <c r="C36" s="15" t="s">
        <v>27</v>
      </c>
      <c r="D36" s="11" t="str">
        <f t="shared" si="0"/>
        <v/>
      </c>
      <c r="E36" s="15" t="s">
        <v>27</v>
      </c>
      <c r="F36" s="15" t="s">
        <v>27</v>
      </c>
      <c r="G36" s="11" t="str">
        <f t="shared" si="1"/>
        <v/>
      </c>
      <c r="H36" s="15" t="s">
        <v>27</v>
      </c>
      <c r="I36" s="9">
        <f t="shared" si="7"/>
        <v>0</v>
      </c>
    </row>
    <row r="37" spans="1:9" ht="14.4" x14ac:dyDescent="0.3">
      <c r="A37" s="18" t="s">
        <v>13</v>
      </c>
      <c r="B37" s="10">
        <v>45906</v>
      </c>
      <c r="C37" s="11">
        <v>0.32905092592773144</v>
      </c>
      <c r="D37" s="11" t="str">
        <f t="shared" si="0"/>
        <v/>
      </c>
      <c r="E37" s="12" t="s">
        <v>18</v>
      </c>
      <c r="F37" s="12" t="s">
        <v>18</v>
      </c>
      <c r="G37" s="11" t="str">
        <f t="shared" si="1"/>
        <v>Falta marcación</v>
      </c>
      <c r="H37" s="11">
        <v>0.71534722222349956</v>
      </c>
      <c r="I37" s="9">
        <f t="shared" si="7"/>
        <v>1</v>
      </c>
    </row>
    <row r="38" spans="1:9" ht="14.4" x14ac:dyDescent="0.3">
      <c r="A38" s="18" t="s">
        <v>13</v>
      </c>
      <c r="B38" s="10">
        <v>45907</v>
      </c>
      <c r="C38" s="14" t="s">
        <v>26</v>
      </c>
      <c r="D38" s="11" t="str">
        <f t="shared" si="0"/>
        <v/>
      </c>
      <c r="E38" s="14" t="s">
        <v>26</v>
      </c>
      <c r="F38" s="14" t="s">
        <v>26</v>
      </c>
      <c r="G38" s="11" t="str">
        <f t="shared" si="1"/>
        <v/>
      </c>
      <c r="H38" s="14" t="s">
        <v>26</v>
      </c>
      <c r="I38" s="9">
        <v>0</v>
      </c>
    </row>
    <row r="39" spans="1:9" ht="14.4" x14ac:dyDescent="0.3">
      <c r="A39" s="18" t="s">
        <v>13</v>
      </c>
      <c r="B39" s="10">
        <v>45908</v>
      </c>
      <c r="C39" s="13">
        <v>0.32826388888861402</v>
      </c>
      <c r="D39" s="11" t="str">
        <f t="shared" si="0"/>
        <v/>
      </c>
      <c r="E39" s="13" t="s">
        <v>25</v>
      </c>
      <c r="F39" s="13" t="s">
        <v>25</v>
      </c>
      <c r="G39" s="11" t="str">
        <f t="shared" si="1"/>
        <v>Falta marcación</v>
      </c>
      <c r="H39" s="13">
        <v>0.71077546296146465</v>
      </c>
      <c r="I39" s="9">
        <v>0</v>
      </c>
    </row>
    <row r="40" spans="1:9" ht="14.4" x14ac:dyDescent="0.3">
      <c r="A40" s="18" t="s">
        <v>13</v>
      </c>
      <c r="B40" s="10">
        <v>45909</v>
      </c>
      <c r="C40" s="11">
        <v>0.3182754629633564</v>
      </c>
      <c r="D40" s="11" t="str">
        <f t="shared" si="0"/>
        <v/>
      </c>
      <c r="E40" s="12" t="s">
        <v>18</v>
      </c>
      <c r="F40" s="12" t="s">
        <v>18</v>
      </c>
      <c r="G40" s="11" t="str">
        <f t="shared" si="1"/>
        <v>Falta marcación</v>
      </c>
      <c r="H40" s="11">
        <v>0.71201388888948713</v>
      </c>
      <c r="I40" s="9">
        <f t="shared" ref="I40:I44" si="8">IF(AND(C40&lt;&gt;"",C40&lt;&gt;"Falta marcación",C40&lt;&gt;"Día de descanso",C40&lt;&gt;"Horas extras",C40&lt;&gt;"Permiso",C40&lt;&gt;"Feriado",H40&lt;&gt;"",H40&lt;&gt;"Falta marcación",H40&lt;&gt;"Día de descanso",H40&lt;&gt;"Horas extras",H40&lt;&gt;"Permiso",H40&lt;&gt;"Feriado"),1,0)</f>
        <v>1</v>
      </c>
    </row>
    <row r="41" spans="1:9" ht="14.4" x14ac:dyDescent="0.3">
      <c r="A41" s="18" t="s">
        <v>13</v>
      </c>
      <c r="B41" s="10">
        <v>45910</v>
      </c>
      <c r="C41" s="11">
        <v>0.32565972222073469</v>
      </c>
      <c r="D41" s="11" t="str">
        <f t="shared" si="0"/>
        <v/>
      </c>
      <c r="E41" s="12" t="s">
        <v>18</v>
      </c>
      <c r="F41" s="12" t="s">
        <v>18</v>
      </c>
      <c r="G41" s="11" t="str">
        <f t="shared" si="1"/>
        <v>Falta marcación</v>
      </c>
      <c r="H41" s="11">
        <v>0.72746527777781012</v>
      </c>
      <c r="I41" s="9">
        <f t="shared" si="8"/>
        <v>1</v>
      </c>
    </row>
    <row r="42" spans="1:9" ht="14.4" x14ac:dyDescent="0.3">
      <c r="A42" s="18" t="s">
        <v>13</v>
      </c>
      <c r="B42" s="10">
        <v>45911</v>
      </c>
      <c r="C42" s="11">
        <v>0.33248842592729488</v>
      </c>
      <c r="D42" s="11" t="str">
        <f t="shared" si="0"/>
        <v/>
      </c>
      <c r="E42" s="12" t="s">
        <v>18</v>
      </c>
      <c r="F42" s="12" t="s">
        <v>18</v>
      </c>
      <c r="G42" s="11" t="str">
        <f t="shared" si="1"/>
        <v>Falta marcación</v>
      </c>
      <c r="H42" s="11">
        <v>0.76932870370364981</v>
      </c>
      <c r="I42" s="9">
        <f t="shared" si="8"/>
        <v>1</v>
      </c>
    </row>
    <row r="43" spans="1:9" ht="14.4" x14ac:dyDescent="0.3">
      <c r="A43" s="18" t="s">
        <v>13</v>
      </c>
      <c r="B43" s="10">
        <v>45912</v>
      </c>
      <c r="C43" s="11">
        <v>0.32951388888977817</v>
      </c>
      <c r="D43" s="11" t="str">
        <f t="shared" si="0"/>
        <v/>
      </c>
      <c r="E43" s="12" t="s">
        <v>18</v>
      </c>
      <c r="F43" s="12" t="s">
        <v>18</v>
      </c>
      <c r="G43" s="11" t="str">
        <f t="shared" si="1"/>
        <v>Falta marcación</v>
      </c>
      <c r="H43" s="11">
        <v>0.72037037037080154</v>
      </c>
      <c r="I43" s="9">
        <f t="shared" si="8"/>
        <v>1</v>
      </c>
    </row>
    <row r="44" spans="1:9" ht="14.4" x14ac:dyDescent="0.3">
      <c r="A44" s="18" t="s">
        <v>13</v>
      </c>
      <c r="B44" s="10">
        <v>45913</v>
      </c>
      <c r="C44" s="12" t="s">
        <v>18</v>
      </c>
      <c r="D44" s="11" t="str">
        <f t="shared" si="0"/>
        <v/>
      </c>
      <c r="E44" s="12" t="s">
        <v>18</v>
      </c>
      <c r="F44" s="12" t="s">
        <v>18</v>
      </c>
      <c r="G44" s="11" t="str">
        <f t="shared" si="1"/>
        <v>Falta marcación</v>
      </c>
      <c r="H44" s="12" t="s">
        <v>18</v>
      </c>
      <c r="I44" s="9">
        <f t="shared" si="8"/>
        <v>0</v>
      </c>
    </row>
    <row r="45" spans="1:9" ht="14.4" x14ac:dyDescent="0.3">
      <c r="A45" s="18" t="s">
        <v>13</v>
      </c>
      <c r="B45" s="10">
        <v>45914</v>
      </c>
      <c r="C45" s="14" t="s">
        <v>26</v>
      </c>
      <c r="D45" s="11" t="str">
        <f t="shared" si="0"/>
        <v/>
      </c>
      <c r="E45" s="14" t="s">
        <v>26</v>
      </c>
      <c r="F45" s="14" t="s">
        <v>26</v>
      </c>
      <c r="G45" s="11" t="str">
        <f t="shared" si="1"/>
        <v/>
      </c>
      <c r="H45" s="14" t="s">
        <v>26</v>
      </c>
      <c r="I45" s="9">
        <v>0</v>
      </c>
    </row>
    <row r="46" spans="1:9" ht="14.4" x14ac:dyDescent="0.3">
      <c r="A46" s="18" t="s">
        <v>13</v>
      </c>
      <c r="B46" s="10">
        <v>45915</v>
      </c>
      <c r="C46" s="14" t="s">
        <v>26</v>
      </c>
      <c r="D46" s="11" t="str">
        <f t="shared" si="0"/>
        <v/>
      </c>
      <c r="E46" s="14" t="s">
        <v>26</v>
      </c>
      <c r="F46" s="14" t="s">
        <v>26</v>
      </c>
      <c r="G46" s="11" t="str">
        <f t="shared" si="1"/>
        <v/>
      </c>
      <c r="H46" s="14" t="s">
        <v>26</v>
      </c>
      <c r="I46" s="9">
        <v>0</v>
      </c>
    </row>
    <row r="47" spans="1:9" ht="14.4" x14ac:dyDescent="0.3">
      <c r="A47" s="18" t="s">
        <v>13</v>
      </c>
      <c r="B47" s="10">
        <v>45916</v>
      </c>
      <c r="C47" s="11">
        <v>0.32616898148262408</v>
      </c>
      <c r="D47" s="11" t="str">
        <f t="shared" si="0"/>
        <v/>
      </c>
      <c r="E47" s="12" t="s">
        <v>18</v>
      </c>
      <c r="F47" s="12" t="s">
        <v>18</v>
      </c>
      <c r="G47" s="11" t="str">
        <f t="shared" si="1"/>
        <v>Falta marcación</v>
      </c>
      <c r="H47" s="11">
        <v>0.71101851851926767</v>
      </c>
      <c r="I47" s="9">
        <f t="shared" ref="I47:I51" si="9">IF(AND(C47&lt;&gt;"",C47&lt;&gt;"Falta marcación",C47&lt;&gt;"Día de descanso",C47&lt;&gt;"Horas extras",C47&lt;&gt;"Permiso",C47&lt;&gt;"Feriado",H47&lt;&gt;"",H47&lt;&gt;"Falta marcación",H47&lt;&gt;"Día de descanso",H47&lt;&gt;"Horas extras",H47&lt;&gt;"Permiso",H47&lt;&gt;"Feriado"),1,0)</f>
        <v>1</v>
      </c>
    </row>
    <row r="48" spans="1:9" ht="14.4" x14ac:dyDescent="0.3">
      <c r="A48" s="18" t="s">
        <v>13</v>
      </c>
      <c r="B48" s="10">
        <v>45917</v>
      </c>
      <c r="C48" s="11">
        <v>0.32755787036876427</v>
      </c>
      <c r="D48" s="11" t="str">
        <f t="shared" si="0"/>
        <v/>
      </c>
      <c r="E48" s="12" t="s">
        <v>18</v>
      </c>
      <c r="F48" s="12" t="s">
        <v>18</v>
      </c>
      <c r="G48" s="11" t="str">
        <f t="shared" si="1"/>
        <v>Falta marcación</v>
      </c>
      <c r="H48" s="11">
        <v>0.71043981481489027</v>
      </c>
      <c r="I48" s="9">
        <f t="shared" si="9"/>
        <v>1</v>
      </c>
    </row>
    <row r="49" spans="1:9" ht="14.4" x14ac:dyDescent="0.3">
      <c r="A49" s="18" t="s">
        <v>13</v>
      </c>
      <c r="B49" s="10">
        <v>45918</v>
      </c>
      <c r="C49" s="11">
        <v>0.33075231481416267</v>
      </c>
      <c r="D49" s="11" t="str">
        <f t="shared" si="0"/>
        <v/>
      </c>
      <c r="E49" s="12" t="s">
        <v>18</v>
      </c>
      <c r="F49" s="12" t="s">
        <v>18</v>
      </c>
      <c r="G49" s="11" t="str">
        <f t="shared" si="1"/>
        <v>Falta marcación</v>
      </c>
      <c r="H49" s="11">
        <v>0.70856481481314404</v>
      </c>
      <c r="I49" s="9">
        <f t="shared" si="9"/>
        <v>1</v>
      </c>
    </row>
    <row r="50" spans="1:9" ht="14.4" x14ac:dyDescent="0.3">
      <c r="A50" s="18" t="s">
        <v>13</v>
      </c>
      <c r="B50" s="10">
        <v>45919</v>
      </c>
      <c r="C50" s="11">
        <v>0.33263888888905058</v>
      </c>
      <c r="D50" s="11" t="str">
        <f t="shared" si="0"/>
        <v/>
      </c>
      <c r="E50" s="12" t="s">
        <v>18</v>
      </c>
      <c r="F50" s="12" t="s">
        <v>18</v>
      </c>
      <c r="G50" s="11" t="str">
        <f t="shared" si="1"/>
        <v>Falta marcación</v>
      </c>
      <c r="H50" s="11">
        <v>0.70947916666773381</v>
      </c>
      <c r="I50" s="9">
        <f t="shared" si="9"/>
        <v>1</v>
      </c>
    </row>
    <row r="51" spans="1:9" ht="14.4" x14ac:dyDescent="0.3">
      <c r="A51" s="18" t="s">
        <v>13</v>
      </c>
      <c r="B51" s="10">
        <v>45920</v>
      </c>
      <c r="C51" s="11">
        <v>0.33078703703722567</v>
      </c>
      <c r="D51" s="11" t="str">
        <f t="shared" si="0"/>
        <v/>
      </c>
      <c r="E51" s="12" t="s">
        <v>18</v>
      </c>
      <c r="F51" s="12" t="s">
        <v>18</v>
      </c>
      <c r="G51" s="11" t="str">
        <f t="shared" si="1"/>
        <v>Falta marcación</v>
      </c>
      <c r="H51" s="11">
        <v>0.72541666666802485</v>
      </c>
      <c r="I51" s="9">
        <f t="shared" si="9"/>
        <v>1</v>
      </c>
    </row>
    <row r="52" spans="1:9" ht="14.4" x14ac:dyDescent="0.3">
      <c r="A52" s="18" t="s">
        <v>13</v>
      </c>
      <c r="B52" s="10">
        <v>45921</v>
      </c>
      <c r="C52" s="14" t="s">
        <v>26</v>
      </c>
      <c r="D52" s="11" t="str">
        <f t="shared" si="0"/>
        <v/>
      </c>
      <c r="E52" s="14" t="s">
        <v>26</v>
      </c>
      <c r="F52" s="14" t="s">
        <v>26</v>
      </c>
      <c r="G52" s="11" t="str">
        <f t="shared" si="1"/>
        <v/>
      </c>
      <c r="H52" s="14" t="s">
        <v>26</v>
      </c>
      <c r="I52" s="9">
        <v>0</v>
      </c>
    </row>
    <row r="53" spans="1:9" ht="14.4" x14ac:dyDescent="0.3">
      <c r="A53" s="18" t="s">
        <v>13</v>
      </c>
      <c r="B53" s="10">
        <v>45922</v>
      </c>
      <c r="C53" s="14" t="s">
        <v>26</v>
      </c>
      <c r="D53" s="11" t="str">
        <f t="shared" si="0"/>
        <v/>
      </c>
      <c r="E53" s="14" t="s">
        <v>26</v>
      </c>
      <c r="F53" s="14" t="s">
        <v>26</v>
      </c>
      <c r="G53" s="11" t="str">
        <f t="shared" si="1"/>
        <v/>
      </c>
      <c r="H53" s="14" t="s">
        <v>26</v>
      </c>
      <c r="I53" s="9">
        <v>0</v>
      </c>
    </row>
    <row r="54" spans="1:9" ht="14.4" x14ac:dyDescent="0.3">
      <c r="A54" s="18" t="s">
        <v>13</v>
      </c>
      <c r="B54" s="10">
        <v>45923</v>
      </c>
      <c r="C54" s="11">
        <v>0.32850694444277906</v>
      </c>
      <c r="D54" s="11" t="str">
        <f t="shared" si="0"/>
        <v/>
      </c>
      <c r="E54" s="12" t="s">
        <v>18</v>
      </c>
      <c r="F54" s="12" t="s">
        <v>18</v>
      </c>
      <c r="G54" s="11" t="str">
        <f t="shared" si="1"/>
        <v>Falta marcación</v>
      </c>
      <c r="H54" s="11">
        <v>0.71531250000043656</v>
      </c>
      <c r="I54" s="9">
        <f t="shared" ref="I54:I58" si="10">IF(AND(C54&lt;&gt;"",C54&lt;&gt;"Falta marcación",C54&lt;&gt;"Día de descanso",C54&lt;&gt;"Horas extras",C54&lt;&gt;"Permiso",C54&lt;&gt;"Feriado",H54&lt;&gt;"",H54&lt;&gt;"Falta marcación",H54&lt;&gt;"Día de descanso",H54&lt;&gt;"Horas extras",H54&lt;&gt;"Permiso",H54&lt;&gt;"Feriado"),1,0)</f>
        <v>1</v>
      </c>
    </row>
    <row r="55" spans="1:9" ht="14.4" x14ac:dyDescent="0.3">
      <c r="A55" s="18" t="s">
        <v>13</v>
      </c>
      <c r="B55" s="10">
        <v>45924</v>
      </c>
      <c r="C55" s="11">
        <v>0.33028935185211594</v>
      </c>
      <c r="D55" s="11" t="str">
        <f t="shared" si="0"/>
        <v/>
      </c>
      <c r="E55" s="12" t="s">
        <v>18</v>
      </c>
      <c r="F55" s="12" t="s">
        <v>18</v>
      </c>
      <c r="G55" s="11" t="str">
        <f t="shared" si="1"/>
        <v>Falta marcación</v>
      </c>
      <c r="H55" s="11">
        <v>0.7090162037020491</v>
      </c>
      <c r="I55" s="9">
        <f t="shared" si="10"/>
        <v>1</v>
      </c>
    </row>
    <row r="56" spans="1:9" ht="14.4" x14ac:dyDescent="0.3">
      <c r="A56" s="18" t="s">
        <v>13</v>
      </c>
      <c r="B56" s="10">
        <v>45925</v>
      </c>
      <c r="C56" s="11">
        <v>0.32837962963094469</v>
      </c>
      <c r="D56" s="11" t="str">
        <f t="shared" si="0"/>
        <v/>
      </c>
      <c r="E56" s="12" t="s">
        <v>18</v>
      </c>
      <c r="F56" s="12" t="s">
        <v>18</v>
      </c>
      <c r="G56" s="11" t="str">
        <f t="shared" si="1"/>
        <v>Falta marcación</v>
      </c>
      <c r="H56" s="11">
        <v>0.70884259259401006</v>
      </c>
      <c r="I56" s="9">
        <f t="shared" si="10"/>
        <v>1</v>
      </c>
    </row>
    <row r="57" spans="1:9" ht="14.4" x14ac:dyDescent="0.3">
      <c r="A57" s="18" t="s">
        <v>13</v>
      </c>
      <c r="B57" s="10">
        <v>45926</v>
      </c>
      <c r="C57" s="11">
        <v>0.32631944444437977</v>
      </c>
      <c r="D57" s="11" t="str">
        <f t="shared" si="0"/>
        <v/>
      </c>
      <c r="E57" s="12" t="s">
        <v>18</v>
      </c>
      <c r="F57" s="12" t="s">
        <v>18</v>
      </c>
      <c r="G57" s="11" t="str">
        <f t="shared" si="1"/>
        <v>Falta marcación</v>
      </c>
      <c r="H57" s="11">
        <v>0.70871527777853771</v>
      </c>
      <c r="I57" s="9">
        <f t="shared" si="10"/>
        <v>1</v>
      </c>
    </row>
    <row r="58" spans="1:9" ht="14.4" x14ac:dyDescent="0.3">
      <c r="A58" s="18" t="s">
        <v>13</v>
      </c>
      <c r="B58" s="10">
        <v>45927</v>
      </c>
      <c r="C58" s="11">
        <v>0.70888888889021473</v>
      </c>
      <c r="D58" s="12">
        <f t="shared" si="0"/>
        <v>0.37555555555688142</v>
      </c>
      <c r="E58" s="12" t="s">
        <v>18</v>
      </c>
      <c r="F58" s="12" t="s">
        <v>18</v>
      </c>
      <c r="G58" s="11" t="str">
        <f t="shared" si="1"/>
        <v>Falta marcación</v>
      </c>
      <c r="H58" s="11">
        <v>0.70878472222102573</v>
      </c>
      <c r="I58" s="9">
        <f t="shared" si="10"/>
        <v>1</v>
      </c>
    </row>
    <row r="59" spans="1:9" ht="14.4" x14ac:dyDescent="0.3">
      <c r="A59" s="18" t="s">
        <v>13</v>
      </c>
      <c r="B59" s="10">
        <v>45928</v>
      </c>
      <c r="C59" s="13" t="s">
        <v>25</v>
      </c>
      <c r="D59" s="11" t="str">
        <f t="shared" si="0"/>
        <v/>
      </c>
      <c r="E59" s="13" t="s">
        <v>25</v>
      </c>
      <c r="F59" s="13" t="s">
        <v>25</v>
      </c>
      <c r="G59" s="11" t="str">
        <f t="shared" si="1"/>
        <v>Falta marcación</v>
      </c>
      <c r="H59" s="13">
        <v>0.15391203703620704</v>
      </c>
      <c r="I59" s="9">
        <v>0</v>
      </c>
    </row>
    <row r="60" spans="1:9" ht="14.4" x14ac:dyDescent="0.3">
      <c r="A60" s="18" t="s">
        <v>13</v>
      </c>
      <c r="B60" s="10">
        <v>45929</v>
      </c>
      <c r="C60" s="14" t="s">
        <v>26</v>
      </c>
      <c r="D60" s="11" t="str">
        <f t="shared" si="0"/>
        <v/>
      </c>
      <c r="E60" s="14" t="s">
        <v>26</v>
      </c>
      <c r="F60" s="14" t="s">
        <v>26</v>
      </c>
      <c r="G60" s="11" t="str">
        <f t="shared" si="1"/>
        <v/>
      </c>
      <c r="H60" s="14" t="s">
        <v>26</v>
      </c>
      <c r="I60" s="9">
        <v>0</v>
      </c>
    </row>
    <row r="61" spans="1:9" ht="14.4" x14ac:dyDescent="0.3">
      <c r="A61" s="18" t="s">
        <v>13</v>
      </c>
      <c r="B61" s="10">
        <v>45930</v>
      </c>
      <c r="C61" s="11">
        <v>0.33276620370452292</v>
      </c>
      <c r="D61" s="11" t="str">
        <f t="shared" si="0"/>
        <v/>
      </c>
      <c r="E61" s="12" t="s">
        <v>18</v>
      </c>
      <c r="F61" s="12" t="s">
        <v>18</v>
      </c>
      <c r="G61" s="11" t="str">
        <f t="shared" si="1"/>
        <v>Falta marcación</v>
      </c>
      <c r="H61" s="11">
        <v>0.71023148148015025</v>
      </c>
      <c r="I61" s="9">
        <f t="shared" ref="I61:I66" si="11">IF(AND(C61&lt;&gt;"",C61&lt;&gt;"Falta marcación",C61&lt;&gt;"Día de descanso",C61&lt;&gt;"Horas extras",C61&lt;&gt;"Permiso",C61&lt;&gt;"Feriado",H61&lt;&gt;"",H61&lt;&gt;"Falta marcación",H61&lt;&gt;"Día de descanso",H61&lt;&gt;"Horas extras",H61&lt;&gt;"Permiso",H61&lt;&gt;"Feriado"),1,0)</f>
        <v>1</v>
      </c>
    </row>
    <row r="62" spans="1:9" ht="14.4" x14ac:dyDescent="0.3">
      <c r="A62" s="18" t="s">
        <v>14</v>
      </c>
      <c r="B62" s="10">
        <v>45901</v>
      </c>
      <c r="C62" s="11">
        <v>0.33192129629605915</v>
      </c>
      <c r="D62" s="11" t="str">
        <f t="shared" si="0"/>
        <v/>
      </c>
      <c r="E62" s="11">
        <v>0.54296296296161017</v>
      </c>
      <c r="F62" s="11">
        <v>0.5841550925943011</v>
      </c>
      <c r="G62" s="11">
        <f t="shared" si="1"/>
        <v>4.1192129632690921E-2</v>
      </c>
      <c r="H62" s="11">
        <v>0.73486111111196806</v>
      </c>
      <c r="I62" s="9">
        <f t="shared" si="11"/>
        <v>1</v>
      </c>
    </row>
    <row r="63" spans="1:9" ht="14.4" x14ac:dyDescent="0.3">
      <c r="A63" s="18" t="s">
        <v>14</v>
      </c>
      <c r="B63" s="10">
        <v>45902</v>
      </c>
      <c r="C63" s="11">
        <v>0.33236111111182254</v>
      </c>
      <c r="D63" s="11" t="str">
        <f t="shared" si="0"/>
        <v/>
      </c>
      <c r="E63" s="11">
        <v>0.54402777777795563</v>
      </c>
      <c r="F63" s="11">
        <v>0.58939814814948477</v>
      </c>
      <c r="G63" s="16">
        <f t="shared" si="1"/>
        <v>4.5370370371529134E-2</v>
      </c>
      <c r="H63" s="11">
        <v>0.79828703703606152</v>
      </c>
      <c r="I63" s="9">
        <f t="shared" si="11"/>
        <v>1</v>
      </c>
    </row>
    <row r="64" spans="1:9" ht="14.4" x14ac:dyDescent="0.3">
      <c r="A64" s="18" t="s">
        <v>14</v>
      </c>
      <c r="B64" s="10">
        <v>45903</v>
      </c>
      <c r="C64" s="11">
        <v>0.33041666666758829</v>
      </c>
      <c r="D64" s="11" t="str">
        <f t="shared" si="0"/>
        <v/>
      </c>
      <c r="E64" s="11">
        <v>0.54878472222117125</v>
      </c>
      <c r="F64" s="11">
        <v>0.59046296296219225</v>
      </c>
      <c r="G64" s="16">
        <f t="shared" si="1"/>
        <v>4.1678240741021E-2</v>
      </c>
      <c r="H64" s="11">
        <v>0.74464120370248565</v>
      </c>
      <c r="I64" s="9">
        <f t="shared" si="11"/>
        <v>1</v>
      </c>
    </row>
    <row r="65" spans="1:9" ht="14.4" x14ac:dyDescent="0.3">
      <c r="A65" s="18" t="s">
        <v>14</v>
      </c>
      <c r="B65" s="10">
        <v>45904</v>
      </c>
      <c r="C65" s="11">
        <v>0.55230324074000237</v>
      </c>
      <c r="D65" s="12">
        <f t="shared" si="0"/>
        <v>0.21896990740666905</v>
      </c>
      <c r="E65" s="12" t="s">
        <v>18</v>
      </c>
      <c r="F65" s="11">
        <v>0.58880787037196569</v>
      </c>
      <c r="G65" s="11" t="str">
        <f t="shared" si="1"/>
        <v>Falta marcación</v>
      </c>
      <c r="H65" s="11">
        <v>0.7143518518532801</v>
      </c>
      <c r="I65" s="9">
        <f t="shared" si="11"/>
        <v>1</v>
      </c>
    </row>
    <row r="66" spans="1:9" ht="14.4" x14ac:dyDescent="0.3">
      <c r="A66" s="18" t="s">
        <v>14</v>
      </c>
      <c r="B66" s="10">
        <v>45905</v>
      </c>
      <c r="C66" s="11">
        <v>0.33120370370306773</v>
      </c>
      <c r="D66" s="11" t="str">
        <f t="shared" si="0"/>
        <v/>
      </c>
      <c r="E66" s="11">
        <v>0.54920138889065129</v>
      </c>
      <c r="F66" s="11">
        <v>0.58546296296117362</v>
      </c>
      <c r="G66" s="11">
        <f t="shared" si="1"/>
        <v>3.6261574070522329E-2</v>
      </c>
      <c r="H66" s="11">
        <v>0.72116898148306063</v>
      </c>
      <c r="I66" s="9">
        <f t="shared" si="11"/>
        <v>1</v>
      </c>
    </row>
    <row r="67" spans="1:9" ht="14.4" x14ac:dyDescent="0.3">
      <c r="A67" s="18" t="s">
        <v>14</v>
      </c>
      <c r="B67" s="10">
        <v>45906</v>
      </c>
      <c r="C67" s="14" t="s">
        <v>26</v>
      </c>
      <c r="D67" s="11" t="str">
        <f t="shared" si="0"/>
        <v/>
      </c>
      <c r="E67" s="14" t="s">
        <v>26</v>
      </c>
      <c r="F67" s="14" t="s">
        <v>26</v>
      </c>
      <c r="G67" s="11" t="str">
        <f t="shared" si="1"/>
        <v/>
      </c>
      <c r="H67" s="14" t="s">
        <v>26</v>
      </c>
      <c r="I67" s="9">
        <v>0</v>
      </c>
    </row>
    <row r="68" spans="1:9" ht="14.4" x14ac:dyDescent="0.3">
      <c r="A68" s="18" t="s">
        <v>14</v>
      </c>
      <c r="B68" s="10">
        <v>45907</v>
      </c>
      <c r="C68" s="14" t="s">
        <v>26</v>
      </c>
      <c r="D68" s="11" t="str">
        <f t="shared" si="0"/>
        <v/>
      </c>
      <c r="E68" s="14" t="s">
        <v>26</v>
      </c>
      <c r="F68" s="14" t="s">
        <v>26</v>
      </c>
      <c r="G68" s="11" t="str">
        <f t="shared" si="1"/>
        <v/>
      </c>
      <c r="H68" s="14" t="s">
        <v>26</v>
      </c>
      <c r="I68" s="9">
        <v>0</v>
      </c>
    </row>
    <row r="69" spans="1:9" ht="14.4" x14ac:dyDescent="0.3">
      <c r="A69" s="18" t="s">
        <v>14</v>
      </c>
      <c r="B69" s="10">
        <v>45908</v>
      </c>
      <c r="C69" s="11">
        <v>0.33269675925839692</v>
      </c>
      <c r="D69" s="11" t="str">
        <f t="shared" si="0"/>
        <v/>
      </c>
      <c r="E69" s="11">
        <v>0.5507638888884685</v>
      </c>
      <c r="F69" s="11">
        <v>0.59056712963138125</v>
      </c>
      <c r="G69" s="11">
        <f t="shared" si="1"/>
        <v>3.9803240742912749E-2</v>
      </c>
      <c r="H69" s="11">
        <v>0.71940972222364508</v>
      </c>
      <c r="I69" s="9">
        <f t="shared" ref="I69:I73" si="12">IF(AND(C69&lt;&gt;"",C69&lt;&gt;"Falta marcación",C69&lt;&gt;"Día de descanso",C69&lt;&gt;"Horas extras",C69&lt;&gt;"Permiso",C69&lt;&gt;"Feriado",H69&lt;&gt;"",H69&lt;&gt;"Falta marcación",H69&lt;&gt;"Día de descanso",H69&lt;&gt;"Horas extras",H69&lt;&gt;"Permiso",H69&lt;&gt;"Feriado"),1,0)</f>
        <v>1</v>
      </c>
    </row>
    <row r="70" spans="1:9" ht="14.4" x14ac:dyDescent="0.3">
      <c r="A70" s="18" t="s">
        <v>14</v>
      </c>
      <c r="B70" s="10">
        <v>45909</v>
      </c>
      <c r="C70" s="11">
        <v>0.33254629629664123</v>
      </c>
      <c r="D70" s="11" t="str">
        <f t="shared" si="0"/>
        <v/>
      </c>
      <c r="E70" s="11">
        <v>0.57957175925912452</v>
      </c>
      <c r="F70" s="11">
        <v>0.61915509259415558</v>
      </c>
      <c r="G70" s="11">
        <f t="shared" si="1"/>
        <v>3.9583333335031057E-2</v>
      </c>
      <c r="H70" s="11">
        <v>0.72878472222146229</v>
      </c>
      <c r="I70" s="9">
        <f t="shared" si="12"/>
        <v>1</v>
      </c>
    </row>
    <row r="71" spans="1:9" ht="14.4" x14ac:dyDescent="0.3">
      <c r="A71" s="18" t="s">
        <v>14</v>
      </c>
      <c r="B71" s="10">
        <v>45910</v>
      </c>
      <c r="C71" s="11">
        <v>0.32828703703853535</v>
      </c>
      <c r="D71" s="11" t="str">
        <f t="shared" si="0"/>
        <v/>
      </c>
      <c r="E71" s="11">
        <v>0.54928240740628098</v>
      </c>
      <c r="F71" s="11">
        <v>0.5916782407402934</v>
      </c>
      <c r="G71" s="16">
        <f t="shared" si="1"/>
        <v>4.2395833334012423E-2</v>
      </c>
      <c r="H71" s="11">
        <v>0.74405092592496658</v>
      </c>
      <c r="I71" s="9">
        <f t="shared" si="12"/>
        <v>1</v>
      </c>
    </row>
    <row r="72" spans="1:9" ht="14.4" x14ac:dyDescent="0.3">
      <c r="A72" s="18" t="s">
        <v>14</v>
      </c>
      <c r="B72" s="10">
        <v>45911</v>
      </c>
      <c r="C72" s="11">
        <v>0.3320486111115315</v>
      </c>
      <c r="D72" s="11" t="str">
        <f t="shared" si="0"/>
        <v/>
      </c>
      <c r="E72" s="11">
        <v>0.54846064814773854</v>
      </c>
      <c r="F72" s="11">
        <v>0.57690972222189885</v>
      </c>
      <c r="G72" s="11">
        <f t="shared" si="1"/>
        <v>2.8449074074160308E-2</v>
      </c>
      <c r="H72" s="11">
        <v>0.72353009259313694</v>
      </c>
      <c r="I72" s="9">
        <f t="shared" si="12"/>
        <v>1</v>
      </c>
    </row>
    <row r="73" spans="1:9" ht="14.4" x14ac:dyDescent="0.3">
      <c r="A73" s="18" t="s">
        <v>14</v>
      </c>
      <c r="B73" s="10">
        <v>45912</v>
      </c>
      <c r="C73" s="11">
        <v>0.33048611111007631</v>
      </c>
      <c r="D73" s="11" t="str">
        <f t="shared" si="0"/>
        <v/>
      </c>
      <c r="E73" s="11">
        <v>0.54516203703678912</v>
      </c>
      <c r="F73" s="11">
        <v>0.57825231481547235</v>
      </c>
      <c r="G73" s="11">
        <f t="shared" si="1"/>
        <v>3.309027777868323E-2</v>
      </c>
      <c r="H73" s="11">
        <v>0.74874999999883585</v>
      </c>
      <c r="I73" s="9">
        <f t="shared" si="12"/>
        <v>1</v>
      </c>
    </row>
    <row r="74" spans="1:9" ht="14.4" x14ac:dyDescent="0.3">
      <c r="A74" s="18" t="s">
        <v>14</v>
      </c>
      <c r="B74" s="10">
        <v>45913</v>
      </c>
      <c r="C74" s="14" t="s">
        <v>26</v>
      </c>
      <c r="D74" s="11" t="str">
        <f t="shared" si="0"/>
        <v/>
      </c>
      <c r="E74" s="14" t="s">
        <v>26</v>
      </c>
      <c r="F74" s="14" t="s">
        <v>26</v>
      </c>
      <c r="G74" s="11" t="str">
        <f t="shared" si="1"/>
        <v/>
      </c>
      <c r="H74" s="14" t="s">
        <v>26</v>
      </c>
      <c r="I74" s="9">
        <v>0</v>
      </c>
    </row>
    <row r="75" spans="1:9" ht="14.4" x14ac:dyDescent="0.3">
      <c r="A75" s="18" t="s">
        <v>14</v>
      </c>
      <c r="B75" s="10">
        <v>45914</v>
      </c>
      <c r="C75" s="14" t="s">
        <v>26</v>
      </c>
      <c r="D75" s="11" t="str">
        <f t="shared" si="0"/>
        <v/>
      </c>
      <c r="E75" s="14" t="s">
        <v>26</v>
      </c>
      <c r="F75" s="14" t="s">
        <v>26</v>
      </c>
      <c r="G75" s="11" t="str">
        <f t="shared" si="1"/>
        <v/>
      </c>
      <c r="H75" s="14" t="s">
        <v>26</v>
      </c>
      <c r="I75" s="9">
        <v>0</v>
      </c>
    </row>
    <row r="76" spans="1:9" ht="14.4" x14ac:dyDescent="0.3">
      <c r="A76" s="18" t="s">
        <v>14</v>
      </c>
      <c r="B76" s="10">
        <v>45915</v>
      </c>
      <c r="C76" s="11">
        <v>0.33245370370423188</v>
      </c>
      <c r="D76" s="11" t="str">
        <f t="shared" si="0"/>
        <v/>
      </c>
      <c r="E76" s="11">
        <v>0.54412037037036498</v>
      </c>
      <c r="F76" s="11">
        <v>0.567696759258979</v>
      </c>
      <c r="G76" s="11">
        <f t="shared" si="1"/>
        <v>2.3576388888614019E-2</v>
      </c>
      <c r="H76" s="11">
        <v>0.71222222222058917</v>
      </c>
      <c r="I76" s="9">
        <f t="shared" ref="I76:I80" si="13">IF(AND(C76&lt;&gt;"",C76&lt;&gt;"Falta marcación",C76&lt;&gt;"Día de descanso",C76&lt;&gt;"Horas extras",C76&lt;&gt;"Permiso",C76&lt;&gt;"Feriado",H76&lt;&gt;"",H76&lt;&gt;"Falta marcación",H76&lt;&gt;"Día de descanso",H76&lt;&gt;"Horas extras",H76&lt;&gt;"Permiso",H76&lt;&gt;"Feriado"),1,0)</f>
        <v>1</v>
      </c>
    </row>
    <row r="77" spans="1:9" ht="14.4" x14ac:dyDescent="0.3">
      <c r="A77" s="18" t="s">
        <v>14</v>
      </c>
      <c r="B77" s="10">
        <v>45916</v>
      </c>
      <c r="C77" s="11">
        <v>0.32603009259401006</v>
      </c>
      <c r="D77" s="11" t="str">
        <f t="shared" si="0"/>
        <v/>
      </c>
      <c r="E77" s="12" t="s">
        <v>18</v>
      </c>
      <c r="F77" s="12" t="s">
        <v>18</v>
      </c>
      <c r="G77" s="11" t="str">
        <f t="shared" si="1"/>
        <v>Falta marcación</v>
      </c>
      <c r="H77" s="11">
        <v>0.73505787036992842</v>
      </c>
      <c r="I77" s="9">
        <f t="shared" si="13"/>
        <v>1</v>
      </c>
    </row>
    <row r="78" spans="1:9" ht="14.4" x14ac:dyDescent="0.3">
      <c r="A78" s="18" t="s">
        <v>14</v>
      </c>
      <c r="B78" s="10">
        <v>45917</v>
      </c>
      <c r="C78" s="11">
        <v>0.33212962963079917</v>
      </c>
      <c r="D78" s="11" t="str">
        <f t="shared" si="0"/>
        <v/>
      </c>
      <c r="E78" s="11">
        <v>0.54565972222189885</v>
      </c>
      <c r="F78" s="11">
        <v>0.58646990740817273</v>
      </c>
      <c r="G78" s="11">
        <f t="shared" si="1"/>
        <v>4.0810185186273884E-2</v>
      </c>
      <c r="H78" s="11">
        <v>0.70947916666773381</v>
      </c>
      <c r="I78" s="9">
        <f t="shared" si="13"/>
        <v>1</v>
      </c>
    </row>
    <row r="79" spans="1:9" ht="14.4" x14ac:dyDescent="0.3">
      <c r="A79" s="18" t="s">
        <v>14</v>
      </c>
      <c r="B79" s="10">
        <v>45918</v>
      </c>
      <c r="C79" s="11">
        <v>0.33413194444437977</v>
      </c>
      <c r="D79" s="16">
        <f t="shared" si="0"/>
        <v>7.9861111104645444E-4</v>
      </c>
      <c r="E79" s="12" t="s">
        <v>18</v>
      </c>
      <c r="F79" s="12" t="s">
        <v>18</v>
      </c>
      <c r="G79" s="11" t="str">
        <f t="shared" si="1"/>
        <v>Falta marcación</v>
      </c>
      <c r="H79" s="11">
        <v>0.71101851851926767</v>
      </c>
      <c r="I79" s="9">
        <f t="shared" si="13"/>
        <v>1</v>
      </c>
    </row>
    <row r="80" spans="1:9" ht="14.4" x14ac:dyDescent="0.3">
      <c r="A80" s="18" t="s">
        <v>14</v>
      </c>
      <c r="B80" s="10">
        <v>45919</v>
      </c>
      <c r="C80" s="11">
        <v>0.33247685185051523</v>
      </c>
      <c r="D80" s="11" t="str">
        <f t="shared" si="0"/>
        <v/>
      </c>
      <c r="E80" s="11">
        <v>0.56164351851839456</v>
      </c>
      <c r="F80" s="11">
        <v>0.58958333333430346</v>
      </c>
      <c r="G80" s="11">
        <f t="shared" si="1"/>
        <v>2.7939814815908903E-2</v>
      </c>
      <c r="H80" s="11">
        <v>0.70877314814788406</v>
      </c>
      <c r="I80" s="9">
        <f t="shared" si="13"/>
        <v>1</v>
      </c>
    </row>
    <row r="81" spans="1:9" ht="14.4" x14ac:dyDescent="0.3">
      <c r="A81" s="18" t="s">
        <v>14</v>
      </c>
      <c r="B81" s="10">
        <v>45920</v>
      </c>
      <c r="C81" s="14" t="s">
        <v>26</v>
      </c>
      <c r="D81" s="11" t="str">
        <f t="shared" si="0"/>
        <v/>
      </c>
      <c r="E81" s="14" t="s">
        <v>26</v>
      </c>
      <c r="F81" s="14" t="s">
        <v>26</v>
      </c>
      <c r="G81" s="11" t="str">
        <f t="shared" si="1"/>
        <v/>
      </c>
      <c r="H81" s="14" t="s">
        <v>26</v>
      </c>
      <c r="I81" s="9">
        <v>0</v>
      </c>
    </row>
    <row r="82" spans="1:9" ht="14.4" x14ac:dyDescent="0.3">
      <c r="A82" s="18" t="s">
        <v>14</v>
      </c>
      <c r="B82" s="10">
        <v>45921</v>
      </c>
      <c r="C82" s="14" t="s">
        <v>26</v>
      </c>
      <c r="D82" s="11" t="str">
        <f t="shared" si="0"/>
        <v/>
      </c>
      <c r="E82" s="14" t="s">
        <v>26</v>
      </c>
      <c r="F82" s="14" t="s">
        <v>26</v>
      </c>
      <c r="G82" s="11" t="str">
        <f t="shared" si="1"/>
        <v/>
      </c>
      <c r="H82" s="14" t="s">
        <v>26</v>
      </c>
      <c r="I82" s="9">
        <v>0</v>
      </c>
    </row>
    <row r="83" spans="1:9" ht="14.4" x14ac:dyDescent="0.3">
      <c r="A83" s="18" t="s">
        <v>14</v>
      </c>
      <c r="B83" s="10">
        <v>45922</v>
      </c>
      <c r="C83" s="11">
        <v>0.33162037036890979</v>
      </c>
      <c r="D83" s="11" t="str">
        <f t="shared" si="0"/>
        <v/>
      </c>
      <c r="E83" s="11">
        <v>0.57451388888875954</v>
      </c>
      <c r="F83" s="11">
        <v>0.58584490740759065</v>
      </c>
      <c r="G83" s="11">
        <f t="shared" si="1"/>
        <v>1.1331018518831115E-2</v>
      </c>
      <c r="H83" s="11">
        <v>0.70880787037094706</v>
      </c>
      <c r="I83" s="9">
        <f t="shared" ref="I83:I87" si="14">IF(AND(C83&lt;&gt;"",C83&lt;&gt;"Falta marcación",C83&lt;&gt;"Día de descanso",C83&lt;&gt;"Horas extras",C83&lt;&gt;"Permiso",C83&lt;&gt;"Feriado",H83&lt;&gt;"",H83&lt;&gt;"Falta marcación",H83&lt;&gt;"Día de descanso",H83&lt;&gt;"Horas extras",H83&lt;&gt;"Permiso",H83&lt;&gt;"Feriado"),1,0)</f>
        <v>1</v>
      </c>
    </row>
    <row r="84" spans="1:9" ht="14.4" x14ac:dyDescent="0.3">
      <c r="A84" s="18" t="s">
        <v>14</v>
      </c>
      <c r="B84" s="10">
        <v>45923</v>
      </c>
      <c r="C84" s="11">
        <v>0.33010416666729725</v>
      </c>
      <c r="D84" s="11" t="str">
        <f t="shared" si="0"/>
        <v/>
      </c>
      <c r="E84" s="11">
        <v>0.55460648148073233</v>
      </c>
      <c r="F84" s="11">
        <v>0.58214120370394085</v>
      </c>
      <c r="G84" s="11">
        <f t="shared" si="1"/>
        <v>2.7534722223208519E-2</v>
      </c>
      <c r="H84" s="11">
        <v>0.71119212963094469</v>
      </c>
      <c r="I84" s="9">
        <f t="shared" si="14"/>
        <v>1</v>
      </c>
    </row>
    <row r="85" spans="1:9" ht="14.4" x14ac:dyDescent="0.3">
      <c r="A85" s="18" t="s">
        <v>14</v>
      </c>
      <c r="B85" s="10">
        <v>45924</v>
      </c>
      <c r="C85" s="11">
        <v>0.33310185185109731</v>
      </c>
      <c r="D85" s="11" t="str">
        <f t="shared" si="0"/>
        <v/>
      </c>
      <c r="E85" s="11">
        <v>0.56341435185095179</v>
      </c>
      <c r="F85" s="11">
        <v>0.58416666666744277</v>
      </c>
      <c r="G85" s="11">
        <f t="shared" si="1"/>
        <v>2.075231481649098E-2</v>
      </c>
      <c r="H85" s="11">
        <v>0.71656250000160071</v>
      </c>
      <c r="I85" s="9">
        <f t="shared" si="14"/>
        <v>1</v>
      </c>
    </row>
    <row r="86" spans="1:9" ht="14.4" x14ac:dyDescent="0.3">
      <c r="A86" s="18" t="s">
        <v>14</v>
      </c>
      <c r="B86" s="10">
        <v>45925</v>
      </c>
      <c r="C86" s="11">
        <v>0.32607638889021473</v>
      </c>
      <c r="D86" s="11" t="str">
        <f t="shared" si="0"/>
        <v/>
      </c>
      <c r="E86" s="11">
        <v>0.54700231481547235</v>
      </c>
      <c r="F86" s="11">
        <v>0.58898148148000473</v>
      </c>
      <c r="G86" s="16">
        <f t="shared" si="1"/>
        <v>4.1979166664532386E-2</v>
      </c>
      <c r="H86" s="11">
        <v>0.71839120370350429</v>
      </c>
      <c r="I86" s="9">
        <f t="shared" si="14"/>
        <v>1</v>
      </c>
    </row>
    <row r="87" spans="1:9" ht="14.4" x14ac:dyDescent="0.3">
      <c r="A87" s="18" t="s">
        <v>14</v>
      </c>
      <c r="B87" s="10">
        <v>45926</v>
      </c>
      <c r="C87" s="11">
        <v>0.33126157407241408</v>
      </c>
      <c r="D87" s="11" t="str">
        <f t="shared" si="0"/>
        <v/>
      </c>
      <c r="E87" s="11">
        <v>0.55190972222044365</v>
      </c>
      <c r="F87" s="11">
        <v>0.58621527777722804</v>
      </c>
      <c r="G87" s="11">
        <f t="shared" si="1"/>
        <v>3.4305555556784384E-2</v>
      </c>
      <c r="H87" s="11">
        <v>0.71728009259095415</v>
      </c>
      <c r="I87" s="9">
        <f t="shared" si="14"/>
        <v>1</v>
      </c>
    </row>
    <row r="88" spans="1:9" ht="14.4" x14ac:dyDescent="0.3">
      <c r="A88" s="18" t="s">
        <v>14</v>
      </c>
      <c r="B88" s="10">
        <v>45927</v>
      </c>
      <c r="C88" s="14" t="s">
        <v>26</v>
      </c>
      <c r="D88" s="11" t="str">
        <f t="shared" si="0"/>
        <v/>
      </c>
      <c r="E88" s="14" t="s">
        <v>26</v>
      </c>
      <c r="F88" s="14" t="s">
        <v>26</v>
      </c>
      <c r="G88" s="11" t="str">
        <f t="shared" si="1"/>
        <v/>
      </c>
      <c r="H88" s="14" t="s">
        <v>26</v>
      </c>
      <c r="I88" s="9">
        <v>0</v>
      </c>
    </row>
    <row r="89" spans="1:9" ht="14.4" x14ac:dyDescent="0.3">
      <c r="A89" s="18" t="s">
        <v>14</v>
      </c>
      <c r="B89" s="10">
        <v>45928</v>
      </c>
      <c r="C89" s="14" t="s">
        <v>26</v>
      </c>
      <c r="D89" s="11" t="str">
        <f t="shared" si="0"/>
        <v/>
      </c>
      <c r="E89" s="14" t="s">
        <v>26</v>
      </c>
      <c r="F89" s="14" t="s">
        <v>26</v>
      </c>
      <c r="G89" s="11" t="str">
        <f t="shared" si="1"/>
        <v/>
      </c>
      <c r="H89" s="14" t="s">
        <v>26</v>
      </c>
      <c r="I89" s="9">
        <v>0</v>
      </c>
    </row>
    <row r="90" spans="1:9" ht="14.4" x14ac:dyDescent="0.3">
      <c r="A90" s="18" t="s">
        <v>14</v>
      </c>
      <c r="B90" s="10">
        <v>45929</v>
      </c>
      <c r="C90" s="11">
        <v>0.32811342592685833</v>
      </c>
      <c r="D90" s="11" t="str">
        <f t="shared" si="0"/>
        <v/>
      </c>
      <c r="E90" s="11">
        <v>0.54660879629591363</v>
      </c>
      <c r="F90" s="11">
        <v>0.56273148148102337</v>
      </c>
      <c r="G90" s="11">
        <f t="shared" si="1"/>
        <v>1.6122685185109731E-2</v>
      </c>
      <c r="H90" s="11">
        <v>0.72261574074218515</v>
      </c>
      <c r="I90" s="9">
        <f t="shared" ref="I90:I91" si="15">IF(AND(C90&lt;&gt;"",C90&lt;&gt;"Falta marcación",C90&lt;&gt;"Día de descanso",C90&lt;&gt;"Horas extras",C90&lt;&gt;"Permiso",C90&lt;&gt;"Feriado",H90&lt;&gt;"",H90&lt;&gt;"Falta marcación",H90&lt;&gt;"Día de descanso",H90&lt;&gt;"Horas extras",H90&lt;&gt;"Permiso",H90&lt;&gt;"Feriado"),1,0)</f>
        <v>1</v>
      </c>
    </row>
    <row r="91" spans="1:9" ht="14.4" x14ac:dyDescent="0.3">
      <c r="A91" s="18" t="s">
        <v>14</v>
      </c>
      <c r="B91" s="10">
        <v>45930</v>
      </c>
      <c r="C91" s="11">
        <v>0.32844907407343271</v>
      </c>
      <c r="D91" s="11" t="str">
        <f t="shared" si="0"/>
        <v/>
      </c>
      <c r="E91" s="11">
        <v>0.54469907407474238</v>
      </c>
      <c r="F91" s="11">
        <v>0.58549768518423662</v>
      </c>
      <c r="G91" s="11">
        <f t="shared" si="1"/>
        <v>4.0798611109494232E-2</v>
      </c>
      <c r="H91" s="11">
        <v>0.70922453703678912</v>
      </c>
      <c r="I91" s="9">
        <f t="shared" si="15"/>
        <v>1</v>
      </c>
    </row>
    <row r="92" spans="1:9" ht="14.4" x14ac:dyDescent="0.3">
      <c r="A92" s="18" t="s">
        <v>28</v>
      </c>
      <c r="B92" s="10">
        <v>45901</v>
      </c>
      <c r="C92" s="13">
        <v>0.30792824074160308</v>
      </c>
      <c r="D92" s="11" t="str">
        <f t="shared" si="0"/>
        <v/>
      </c>
      <c r="E92" s="13">
        <v>0.51451388888744987</v>
      </c>
      <c r="F92" s="13">
        <v>0.54900462962905294</v>
      </c>
      <c r="G92" s="11">
        <f t="shared" si="1"/>
        <v>3.4490740741603076E-2</v>
      </c>
      <c r="H92" s="13">
        <v>0.71958333333168412</v>
      </c>
      <c r="I92" s="9">
        <v>0</v>
      </c>
    </row>
    <row r="93" spans="1:9" ht="14.4" x14ac:dyDescent="0.3">
      <c r="A93" s="18" t="s">
        <v>28</v>
      </c>
      <c r="B93" s="10">
        <v>45902</v>
      </c>
      <c r="C93" s="11">
        <v>0.31148148147985921</v>
      </c>
      <c r="D93" s="11" t="str">
        <f t="shared" si="0"/>
        <v/>
      </c>
      <c r="E93" s="11">
        <v>0.52039351851999527</v>
      </c>
      <c r="F93" s="11">
        <v>0.55012731481474475</v>
      </c>
      <c r="G93" s="11">
        <f t="shared" si="1"/>
        <v>2.9733796294749482E-2</v>
      </c>
      <c r="H93" s="11">
        <v>0.73865740740802721</v>
      </c>
      <c r="I93" s="9">
        <f t="shared" ref="I93:I97" si="16">IF(AND(C93&lt;&gt;"",C93&lt;&gt;"Falta marcación",C93&lt;&gt;"Día de descanso",C93&lt;&gt;"Horas extras",C93&lt;&gt;"Permiso",C93&lt;&gt;"Feriado",H93&lt;&gt;"",H93&lt;&gt;"Falta marcación",H93&lt;&gt;"Día de descanso",H93&lt;&gt;"Horas extras",H93&lt;&gt;"Permiso",H93&lt;&gt;"Feriado"),1,0)</f>
        <v>1</v>
      </c>
    </row>
    <row r="94" spans="1:9" ht="14.4" x14ac:dyDescent="0.3">
      <c r="A94" s="18" t="s">
        <v>28</v>
      </c>
      <c r="B94" s="10">
        <v>45903</v>
      </c>
      <c r="C94" s="11">
        <v>0.30437499999970896</v>
      </c>
      <c r="D94" s="11" t="str">
        <f t="shared" si="0"/>
        <v/>
      </c>
      <c r="E94" s="11">
        <v>0.51276620370481396</v>
      </c>
      <c r="F94" s="11">
        <v>0.54912037037138361</v>
      </c>
      <c r="G94" s="11">
        <f t="shared" si="1"/>
        <v>3.6354166666569654E-2</v>
      </c>
      <c r="H94" s="11">
        <v>0.71872685185007867</v>
      </c>
      <c r="I94" s="9">
        <f t="shared" si="16"/>
        <v>1</v>
      </c>
    </row>
    <row r="95" spans="1:9" ht="14.4" x14ac:dyDescent="0.3">
      <c r="A95" s="18" t="s">
        <v>28</v>
      </c>
      <c r="B95" s="10">
        <v>45904</v>
      </c>
      <c r="C95" s="11">
        <v>0.31898148148320615</v>
      </c>
      <c r="D95" s="11" t="str">
        <f t="shared" si="0"/>
        <v/>
      </c>
      <c r="E95" s="11">
        <v>0.51156249999985448</v>
      </c>
      <c r="F95" s="11">
        <v>0.5423726851840911</v>
      </c>
      <c r="G95" s="11">
        <f t="shared" si="1"/>
        <v>3.0810185184236616E-2</v>
      </c>
      <c r="H95" s="11">
        <v>0.74230324074233067</v>
      </c>
      <c r="I95" s="9">
        <f t="shared" si="16"/>
        <v>1</v>
      </c>
    </row>
    <row r="96" spans="1:9" ht="14.4" x14ac:dyDescent="0.3">
      <c r="A96" s="18" t="s">
        <v>28</v>
      </c>
      <c r="B96" s="10">
        <v>45905</v>
      </c>
      <c r="C96" s="11">
        <v>0.32229166666729725</v>
      </c>
      <c r="D96" s="11" t="str">
        <f t="shared" si="0"/>
        <v/>
      </c>
      <c r="E96" s="11">
        <v>0.50898148148189648</v>
      </c>
      <c r="F96" s="11">
        <v>0.54616898148015025</v>
      </c>
      <c r="G96" s="11">
        <f t="shared" si="1"/>
        <v>3.718749999825377E-2</v>
      </c>
      <c r="H96" s="11">
        <v>0.73542824073956581</v>
      </c>
      <c r="I96" s="9">
        <f t="shared" si="16"/>
        <v>1</v>
      </c>
    </row>
    <row r="97" spans="1:9" ht="14.4" x14ac:dyDescent="0.3">
      <c r="A97" s="18" t="s">
        <v>28</v>
      </c>
      <c r="B97" s="10">
        <v>45906</v>
      </c>
      <c r="C97" s="11">
        <v>0.32711805555663886</v>
      </c>
      <c r="D97" s="11" t="str">
        <f t="shared" si="0"/>
        <v/>
      </c>
      <c r="E97" s="11">
        <v>0.50945601851708489</v>
      </c>
      <c r="F97" s="11">
        <v>0.5281250000007276</v>
      </c>
      <c r="G97" s="11">
        <f t="shared" si="1"/>
        <v>1.866898148364271E-2</v>
      </c>
      <c r="H97" s="11">
        <v>0.71915509259270038</v>
      </c>
      <c r="I97" s="9">
        <f t="shared" si="16"/>
        <v>1</v>
      </c>
    </row>
    <row r="98" spans="1:9" ht="14.4" x14ac:dyDescent="0.3">
      <c r="A98" s="18" t="s">
        <v>28</v>
      </c>
      <c r="B98" s="10">
        <v>45907</v>
      </c>
      <c r="C98" s="14" t="s">
        <v>26</v>
      </c>
      <c r="D98" s="11" t="str">
        <f t="shared" si="0"/>
        <v/>
      </c>
      <c r="E98" s="14" t="s">
        <v>26</v>
      </c>
      <c r="F98" s="14" t="s">
        <v>26</v>
      </c>
      <c r="G98" s="11" t="str">
        <f t="shared" si="1"/>
        <v/>
      </c>
      <c r="H98" s="14" t="s">
        <v>26</v>
      </c>
      <c r="I98" s="9">
        <v>0</v>
      </c>
    </row>
    <row r="99" spans="1:9" ht="14.4" x14ac:dyDescent="0.3">
      <c r="A99" s="18" t="s">
        <v>28</v>
      </c>
      <c r="B99" s="10">
        <v>45908</v>
      </c>
      <c r="C99" s="13">
        <v>0.3028009259251121</v>
      </c>
      <c r="D99" s="11" t="str">
        <f t="shared" si="0"/>
        <v/>
      </c>
      <c r="E99" s="13">
        <v>0.50387731481532683</v>
      </c>
      <c r="F99" s="13">
        <v>0.54130787037138361</v>
      </c>
      <c r="G99" s="11">
        <f t="shared" si="1"/>
        <v>3.7430555556056788E-2</v>
      </c>
      <c r="H99" s="13">
        <v>0.72305555555431056</v>
      </c>
      <c r="I99" s="9">
        <v>0</v>
      </c>
    </row>
    <row r="100" spans="1:9" ht="14.4" x14ac:dyDescent="0.3">
      <c r="A100" s="18" t="s">
        <v>28</v>
      </c>
      <c r="B100" s="10">
        <v>45909</v>
      </c>
      <c r="C100" s="11">
        <v>0.30326388888715883</v>
      </c>
      <c r="D100" s="11" t="str">
        <f t="shared" si="0"/>
        <v/>
      </c>
      <c r="E100" s="11">
        <v>0.51393518518671044</v>
      </c>
      <c r="F100" s="11">
        <v>0.54282407407299615</v>
      </c>
      <c r="G100" s="11">
        <f t="shared" si="1"/>
        <v>2.8888888886285713E-2</v>
      </c>
      <c r="H100" s="11">
        <v>0.71467592592671281</v>
      </c>
      <c r="I100" s="9">
        <f t="shared" ref="I100:I104" si="17">IF(AND(C100&lt;&gt;"",C100&lt;&gt;"Falta marcación",C100&lt;&gt;"Día de descanso",C100&lt;&gt;"Horas extras",C100&lt;&gt;"Permiso",C100&lt;&gt;"Feriado",H100&lt;&gt;"",H100&lt;&gt;"Falta marcación",H100&lt;&gt;"Día de descanso",H100&lt;&gt;"Horas extras",H100&lt;&gt;"Permiso",H100&lt;&gt;"Feriado"),1,0)</f>
        <v>1</v>
      </c>
    </row>
    <row r="101" spans="1:9" ht="14.4" x14ac:dyDescent="0.3">
      <c r="A101" s="18" t="s">
        <v>28</v>
      </c>
      <c r="B101" s="10">
        <v>45910</v>
      </c>
      <c r="C101" s="11">
        <v>0.31245370370379533</v>
      </c>
      <c r="D101" s="11" t="str">
        <f t="shared" si="0"/>
        <v/>
      </c>
      <c r="E101" s="11">
        <v>0.52168981481372612</v>
      </c>
      <c r="F101" s="11">
        <v>0.55165509259313694</v>
      </c>
      <c r="G101" s="11">
        <f t="shared" si="1"/>
        <v>2.9965277779410826E-2</v>
      </c>
      <c r="H101" s="11">
        <v>0.71085648148073233</v>
      </c>
      <c r="I101" s="9">
        <f t="shared" si="17"/>
        <v>1</v>
      </c>
    </row>
    <row r="102" spans="1:9" ht="14.4" x14ac:dyDescent="0.3">
      <c r="A102" s="18" t="s">
        <v>28</v>
      </c>
      <c r="B102" s="10">
        <v>45911</v>
      </c>
      <c r="C102" s="11">
        <v>0.3054513888891961</v>
      </c>
      <c r="D102" s="11" t="str">
        <f t="shared" si="0"/>
        <v/>
      </c>
      <c r="E102" s="11">
        <v>0.51255787037007394</v>
      </c>
      <c r="F102" s="11">
        <v>0.54771990740846377</v>
      </c>
      <c r="G102" s="11">
        <f t="shared" si="1"/>
        <v>3.5162037038389826E-2</v>
      </c>
      <c r="H102" s="11">
        <v>0.7115509259274404</v>
      </c>
      <c r="I102" s="9">
        <f t="shared" si="17"/>
        <v>1</v>
      </c>
    </row>
    <row r="103" spans="1:9" ht="14.4" x14ac:dyDescent="0.3">
      <c r="A103" s="18" t="s">
        <v>28</v>
      </c>
      <c r="B103" s="10">
        <v>45912</v>
      </c>
      <c r="C103" s="11">
        <v>0.30600694444365217</v>
      </c>
      <c r="D103" s="11" t="str">
        <f t="shared" si="0"/>
        <v/>
      </c>
      <c r="E103" s="11">
        <v>0.5135185185172304</v>
      </c>
      <c r="F103" s="11">
        <v>0.54893518518656492</v>
      </c>
      <c r="G103" s="11">
        <f t="shared" si="1"/>
        <v>3.5416666669334518E-2</v>
      </c>
      <c r="H103" s="11">
        <v>0.71167824073927477</v>
      </c>
      <c r="I103" s="9">
        <f t="shared" si="17"/>
        <v>1</v>
      </c>
    </row>
    <row r="104" spans="1:9" ht="14.4" x14ac:dyDescent="0.3">
      <c r="A104" s="18" t="s">
        <v>28</v>
      </c>
      <c r="B104" s="10">
        <v>45913</v>
      </c>
      <c r="C104" s="11">
        <v>0.58714120370495948</v>
      </c>
      <c r="D104" s="12">
        <f t="shared" si="0"/>
        <v>0.25380787037162617</v>
      </c>
      <c r="E104" s="11">
        <v>0.54938657407546998</v>
      </c>
      <c r="F104" s="11">
        <v>0.58723379629736883</v>
      </c>
      <c r="G104" s="11">
        <f t="shared" si="1"/>
        <v>3.7847222221898846E-2</v>
      </c>
      <c r="H104" s="11">
        <v>0.72027777777839219</v>
      </c>
      <c r="I104" s="9">
        <f t="shared" si="17"/>
        <v>1</v>
      </c>
    </row>
    <row r="105" spans="1:9" ht="14.4" x14ac:dyDescent="0.3">
      <c r="A105" s="18" t="s">
        <v>28</v>
      </c>
      <c r="B105" s="10">
        <v>45914</v>
      </c>
      <c r="C105" s="14" t="s">
        <v>26</v>
      </c>
      <c r="D105" s="11" t="str">
        <f t="shared" si="0"/>
        <v/>
      </c>
      <c r="E105" s="14" t="s">
        <v>26</v>
      </c>
      <c r="F105" s="14" t="s">
        <v>26</v>
      </c>
      <c r="G105" s="11" t="str">
        <f t="shared" si="1"/>
        <v/>
      </c>
      <c r="H105" s="14" t="s">
        <v>26</v>
      </c>
      <c r="I105" s="9">
        <v>0</v>
      </c>
    </row>
    <row r="106" spans="1:9" ht="14.4" x14ac:dyDescent="0.3">
      <c r="A106" s="18" t="s">
        <v>28</v>
      </c>
      <c r="B106" s="10">
        <v>45915</v>
      </c>
      <c r="C106" s="14" t="s">
        <v>26</v>
      </c>
      <c r="D106" s="11" t="str">
        <f t="shared" si="0"/>
        <v/>
      </c>
      <c r="E106" s="14" t="s">
        <v>26</v>
      </c>
      <c r="F106" s="14" t="s">
        <v>26</v>
      </c>
      <c r="G106" s="11" t="str">
        <f t="shared" si="1"/>
        <v/>
      </c>
      <c r="H106" s="14" t="s">
        <v>26</v>
      </c>
      <c r="I106" s="9">
        <v>0</v>
      </c>
    </row>
    <row r="107" spans="1:9" ht="14.4" x14ac:dyDescent="0.3">
      <c r="A107" s="18" t="s">
        <v>28</v>
      </c>
      <c r="B107" s="10">
        <v>45916</v>
      </c>
      <c r="C107" s="11">
        <v>0.31010416666686069</v>
      </c>
      <c r="D107" s="11" t="str">
        <f t="shared" si="0"/>
        <v/>
      </c>
      <c r="E107" s="11">
        <v>0.50562500000160071</v>
      </c>
      <c r="F107" s="11">
        <v>0.54464120370539604</v>
      </c>
      <c r="G107" s="11">
        <f t="shared" si="1"/>
        <v>3.9016203703795327E-2</v>
      </c>
      <c r="H107" s="11">
        <v>0.71258101851708489</v>
      </c>
      <c r="I107" s="9">
        <f t="shared" ref="I107:I111" si="18">IF(AND(C107&lt;&gt;"",C107&lt;&gt;"Falta marcación",C107&lt;&gt;"Día de descanso",C107&lt;&gt;"Horas extras",C107&lt;&gt;"Permiso",C107&lt;&gt;"Feriado",H107&lt;&gt;"",H107&lt;&gt;"Falta marcación",H107&lt;&gt;"Día de descanso",H107&lt;&gt;"Horas extras",H107&lt;&gt;"Permiso",H107&lt;&gt;"Feriado"),1,0)</f>
        <v>1</v>
      </c>
    </row>
    <row r="108" spans="1:9" ht="14.4" x14ac:dyDescent="0.3">
      <c r="A108" s="18" t="s">
        <v>28</v>
      </c>
      <c r="B108" s="10">
        <v>45917</v>
      </c>
      <c r="C108" s="11">
        <v>0.31372685185124283</v>
      </c>
      <c r="D108" s="11" t="str">
        <f t="shared" si="0"/>
        <v/>
      </c>
      <c r="E108" s="12" t="s">
        <v>18</v>
      </c>
      <c r="F108" s="12" t="s">
        <v>18</v>
      </c>
      <c r="G108" s="11" t="str">
        <f t="shared" si="1"/>
        <v>Falta marcación</v>
      </c>
      <c r="H108" s="11">
        <v>0.7096643518525525</v>
      </c>
      <c r="I108" s="9">
        <f t="shared" si="18"/>
        <v>1</v>
      </c>
    </row>
    <row r="109" spans="1:9" ht="14.4" x14ac:dyDescent="0.3">
      <c r="A109" s="18" t="s">
        <v>28</v>
      </c>
      <c r="B109" s="10">
        <v>45918</v>
      </c>
      <c r="C109" s="11">
        <v>0.30685185185211594</v>
      </c>
      <c r="D109" s="11" t="str">
        <f t="shared" si="0"/>
        <v/>
      </c>
      <c r="E109" s="12" t="s">
        <v>18</v>
      </c>
      <c r="F109" s="12" t="s">
        <v>18</v>
      </c>
      <c r="G109" s="11" t="str">
        <f t="shared" si="1"/>
        <v>Falta marcación</v>
      </c>
      <c r="H109" s="11">
        <v>0.70973379629504052</v>
      </c>
      <c r="I109" s="9">
        <f t="shared" si="18"/>
        <v>1</v>
      </c>
    </row>
    <row r="110" spans="1:9" ht="14.4" x14ac:dyDescent="0.3">
      <c r="A110" s="18" t="s">
        <v>28</v>
      </c>
      <c r="B110" s="10">
        <v>45919</v>
      </c>
      <c r="C110" s="11">
        <v>0.30615740740904585</v>
      </c>
      <c r="D110" s="11" t="str">
        <f t="shared" si="0"/>
        <v/>
      </c>
      <c r="E110" s="12" t="s">
        <v>18</v>
      </c>
      <c r="F110" s="12" t="s">
        <v>18</v>
      </c>
      <c r="G110" s="11" t="str">
        <f t="shared" si="1"/>
        <v>Falta marcación</v>
      </c>
      <c r="H110" s="11">
        <v>0.71064814814963029</v>
      </c>
      <c r="I110" s="9">
        <f t="shared" si="18"/>
        <v>1</v>
      </c>
    </row>
    <row r="111" spans="1:9" ht="14.4" x14ac:dyDescent="0.3">
      <c r="A111" s="18" t="s">
        <v>28</v>
      </c>
      <c r="B111" s="10">
        <v>45920</v>
      </c>
      <c r="C111" s="11">
        <v>0.33057870370248565</v>
      </c>
      <c r="D111" s="11" t="str">
        <f t="shared" si="0"/>
        <v/>
      </c>
      <c r="E111" s="11">
        <v>0.546875</v>
      </c>
      <c r="F111" s="11">
        <v>0.57798611111138598</v>
      </c>
      <c r="G111" s="11">
        <f t="shared" si="1"/>
        <v>3.1111111111385981E-2</v>
      </c>
      <c r="H111" s="11">
        <v>0.7252546296294895</v>
      </c>
      <c r="I111" s="9">
        <f t="shared" si="18"/>
        <v>1</v>
      </c>
    </row>
    <row r="112" spans="1:9" ht="14.4" x14ac:dyDescent="0.3">
      <c r="A112" s="18" t="s">
        <v>28</v>
      </c>
      <c r="B112" s="10">
        <v>45921</v>
      </c>
      <c r="C112" s="14" t="s">
        <v>26</v>
      </c>
      <c r="D112" s="11" t="str">
        <f t="shared" si="0"/>
        <v/>
      </c>
      <c r="E112" s="14" t="s">
        <v>26</v>
      </c>
      <c r="F112" s="14" t="s">
        <v>26</v>
      </c>
      <c r="G112" s="11" t="str">
        <f t="shared" si="1"/>
        <v/>
      </c>
      <c r="H112" s="14" t="s">
        <v>26</v>
      </c>
      <c r="I112" s="9">
        <v>0</v>
      </c>
    </row>
    <row r="113" spans="1:9" ht="14.4" x14ac:dyDescent="0.3">
      <c r="A113" s="18" t="s">
        <v>28</v>
      </c>
      <c r="B113" s="10">
        <v>45922</v>
      </c>
      <c r="C113" s="14" t="s">
        <v>26</v>
      </c>
      <c r="D113" s="11" t="str">
        <f t="shared" si="0"/>
        <v/>
      </c>
      <c r="E113" s="14" t="s">
        <v>26</v>
      </c>
      <c r="F113" s="14" t="s">
        <v>26</v>
      </c>
      <c r="G113" s="11" t="str">
        <f t="shared" si="1"/>
        <v/>
      </c>
      <c r="H113" s="14" t="s">
        <v>26</v>
      </c>
      <c r="I113" s="9">
        <v>0</v>
      </c>
    </row>
    <row r="114" spans="1:9" ht="14.4" x14ac:dyDescent="0.3">
      <c r="A114" s="18" t="s">
        <v>28</v>
      </c>
      <c r="B114" s="10">
        <v>45923</v>
      </c>
      <c r="C114" s="11">
        <v>0.31062499999825377</v>
      </c>
      <c r="D114" s="11" t="str">
        <f t="shared" si="0"/>
        <v/>
      </c>
      <c r="E114" s="12" t="s">
        <v>18</v>
      </c>
      <c r="F114" s="12" t="s">
        <v>18</v>
      </c>
      <c r="G114" s="11" t="str">
        <f t="shared" si="1"/>
        <v>Falta marcación</v>
      </c>
      <c r="H114" s="11">
        <v>0.71008101851839456</v>
      </c>
      <c r="I114" s="9">
        <f t="shared" ref="I114:I118" si="19">IF(AND(C114&lt;&gt;"",C114&lt;&gt;"Falta marcación",C114&lt;&gt;"Día de descanso",C114&lt;&gt;"Horas extras",C114&lt;&gt;"Permiso",C114&lt;&gt;"Feriado",H114&lt;&gt;"",H114&lt;&gt;"Falta marcación",H114&lt;&gt;"Día de descanso",H114&lt;&gt;"Horas extras",H114&lt;&gt;"Permiso",H114&lt;&gt;"Feriado"),1,0)</f>
        <v>1</v>
      </c>
    </row>
    <row r="115" spans="1:9" ht="14.4" x14ac:dyDescent="0.3">
      <c r="A115" s="18" t="s">
        <v>28</v>
      </c>
      <c r="B115" s="10">
        <v>45924</v>
      </c>
      <c r="C115" s="11">
        <v>0.32853009259270038</v>
      </c>
      <c r="D115" s="11" t="str">
        <f t="shared" si="0"/>
        <v/>
      </c>
      <c r="E115" s="11">
        <v>0.54303240740773617</v>
      </c>
      <c r="F115" s="11">
        <v>0.57800925925766933</v>
      </c>
      <c r="G115" s="11">
        <f t="shared" si="1"/>
        <v>3.4976851849933155E-2</v>
      </c>
      <c r="H115" s="11">
        <v>0.71131944444277906</v>
      </c>
      <c r="I115" s="9">
        <f t="shared" si="19"/>
        <v>1</v>
      </c>
    </row>
    <row r="116" spans="1:9" ht="14.4" x14ac:dyDescent="0.3">
      <c r="A116" s="18" t="s">
        <v>28</v>
      </c>
      <c r="B116" s="10">
        <v>45925</v>
      </c>
      <c r="C116" s="11">
        <v>0.32628472222131677</v>
      </c>
      <c r="D116" s="11" t="str">
        <f t="shared" si="0"/>
        <v/>
      </c>
      <c r="E116" s="11">
        <v>0.51530092592656729</v>
      </c>
      <c r="F116" s="11">
        <v>0.54305555555401952</v>
      </c>
      <c r="G116" s="11">
        <f t="shared" si="1"/>
        <v>2.7754629627452232E-2</v>
      </c>
      <c r="H116" s="11">
        <v>0.70999999999912689</v>
      </c>
      <c r="I116" s="9">
        <f t="shared" si="19"/>
        <v>1</v>
      </c>
    </row>
    <row r="117" spans="1:9" ht="14.4" x14ac:dyDescent="0.3">
      <c r="A117" s="18" t="s">
        <v>28</v>
      </c>
      <c r="B117" s="10">
        <v>45926</v>
      </c>
      <c r="C117" s="11">
        <v>0.32377314814948477</v>
      </c>
      <c r="D117" s="11" t="str">
        <f t="shared" si="0"/>
        <v/>
      </c>
      <c r="E117" s="11">
        <v>0.50637731481401715</v>
      </c>
      <c r="F117" s="11">
        <v>0.5437152777776646</v>
      </c>
      <c r="G117" s="11">
        <f t="shared" si="1"/>
        <v>3.7337962963647442E-2</v>
      </c>
      <c r="H117" s="11">
        <v>0.71388888888759539</v>
      </c>
      <c r="I117" s="9">
        <f t="shared" si="19"/>
        <v>1</v>
      </c>
    </row>
    <row r="118" spans="1:9" ht="14.4" x14ac:dyDescent="0.3">
      <c r="A118" s="18" t="s">
        <v>28</v>
      </c>
      <c r="B118" s="10">
        <v>45927</v>
      </c>
      <c r="C118" s="11">
        <v>0.25877314814715646</v>
      </c>
      <c r="D118" s="11" t="str">
        <f t="shared" si="0"/>
        <v/>
      </c>
      <c r="E118" s="12" t="s">
        <v>18</v>
      </c>
      <c r="F118" s="12" t="s">
        <v>18</v>
      </c>
      <c r="G118" s="11" t="str">
        <f t="shared" si="1"/>
        <v>Falta marcación</v>
      </c>
      <c r="H118" s="11">
        <v>0.76054398147971369</v>
      </c>
      <c r="I118" s="9">
        <f t="shared" si="19"/>
        <v>1</v>
      </c>
    </row>
    <row r="119" spans="1:9" ht="14.4" x14ac:dyDescent="0.3">
      <c r="A119" s="18" t="s">
        <v>28</v>
      </c>
      <c r="B119" s="10">
        <v>45928</v>
      </c>
      <c r="C119" s="14" t="s">
        <v>26</v>
      </c>
      <c r="D119" s="11" t="str">
        <f t="shared" si="0"/>
        <v/>
      </c>
      <c r="E119" s="14" t="s">
        <v>26</v>
      </c>
      <c r="F119" s="14" t="s">
        <v>26</v>
      </c>
      <c r="G119" s="11" t="str">
        <f t="shared" si="1"/>
        <v/>
      </c>
      <c r="H119" s="14" t="s">
        <v>26</v>
      </c>
      <c r="I119" s="9">
        <v>0</v>
      </c>
    </row>
    <row r="120" spans="1:9" ht="14.4" x14ac:dyDescent="0.3">
      <c r="A120" s="18" t="s">
        <v>28</v>
      </c>
      <c r="B120" s="10">
        <v>45929</v>
      </c>
      <c r="C120" s="14" t="s">
        <v>26</v>
      </c>
      <c r="D120" s="11" t="str">
        <f t="shared" si="0"/>
        <v/>
      </c>
      <c r="E120" s="14" t="s">
        <v>26</v>
      </c>
      <c r="F120" s="14" t="s">
        <v>26</v>
      </c>
      <c r="G120" s="11" t="str">
        <f t="shared" si="1"/>
        <v/>
      </c>
      <c r="H120" s="14" t="s">
        <v>26</v>
      </c>
      <c r="I120" s="9">
        <v>0</v>
      </c>
    </row>
    <row r="121" spans="1:9" ht="14.4" x14ac:dyDescent="0.3">
      <c r="A121" s="18" t="s">
        <v>28</v>
      </c>
      <c r="B121" s="10">
        <v>45930</v>
      </c>
      <c r="C121" s="12" t="s">
        <v>18</v>
      </c>
      <c r="D121" s="11" t="str">
        <f t="shared" si="0"/>
        <v/>
      </c>
      <c r="E121" s="12" t="s">
        <v>18</v>
      </c>
      <c r="F121" s="12" t="s">
        <v>18</v>
      </c>
      <c r="G121" s="11" t="str">
        <f t="shared" si="1"/>
        <v>Falta marcación</v>
      </c>
      <c r="H121" s="12" t="s">
        <v>18</v>
      </c>
      <c r="I121" s="9">
        <f>IF(AND(C121&lt;&gt;"",C121&lt;&gt;"Falta marcación",C121&lt;&gt;"Día de descanso",C121&lt;&gt;"Horas extras",C121&lt;&gt;"Permiso",C121&lt;&gt;"Feriado",H121&lt;&gt;"",H121&lt;&gt;"Falta marcación",H121&lt;&gt;"Día de descanso",H121&lt;&gt;"Horas extras",H121&lt;&gt;"Permiso",H121&lt;&gt;"Feriado"),1,0)</f>
        <v>0</v>
      </c>
    </row>
  </sheetData>
  <conditionalFormatting sqref="C2:C121 E2:F121 H2:H121">
    <cfRule type="cellIs" dxfId="9" priority="7" stopIfTrue="1" operator="equal">
      <formula>"Horas extras"</formula>
    </cfRule>
    <cfRule type="cellIs" dxfId="8" priority="8" stopIfTrue="1" operator="equal">
      <formula>"Permiso"</formula>
    </cfRule>
    <cfRule type="cellIs" dxfId="7" priority="9" stopIfTrue="1" operator="equal">
      <formula>"Feriado"</formula>
    </cfRule>
  </conditionalFormatting>
  <conditionalFormatting sqref="C2:F121">
    <cfRule type="cellIs" dxfId="6" priority="3" stopIfTrue="1" operator="equal">
      <formula>"Falta marcación"</formula>
    </cfRule>
  </conditionalFormatting>
  <conditionalFormatting sqref="D2:D121">
    <cfRule type="cellIs" dxfId="5" priority="1" stopIfTrue="1" operator="greaterThan">
      <formula>0.00694</formula>
    </cfRule>
    <cfRule type="cellIs" dxfId="4" priority="2" stopIfTrue="1" operator="between">
      <formula>0.000001</formula>
      <formula>0.00694</formula>
    </cfRule>
  </conditionalFormatting>
  <conditionalFormatting sqref="G2:G121">
    <cfRule type="cellIs" dxfId="3" priority="4" stopIfTrue="1" operator="greaterThan">
      <formula>0.041667</formula>
    </cfRule>
  </conditionalFormatting>
  <conditionalFormatting sqref="H2:H121 C2:C121 E2:F121">
    <cfRule type="cellIs" dxfId="2" priority="6" stopIfTrue="1" operator="equal">
      <formula>"Día de descanso"</formula>
    </cfRule>
  </conditionalFormatting>
  <conditionalFormatting sqref="H2:H121">
    <cfRule type="cellIs" dxfId="1" priority="5" stopIfTrue="1" operator="equal">
      <formula>"Falta marcación"</formula>
    </cfRule>
  </conditionalFormatting>
  <conditionalFormatting sqref="I2:I121">
    <cfRule type="cellIs" dxfId="0" priority="10" stopIfTrue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4"/>
  <sheetViews>
    <sheetView workbookViewId="0">
      <selection activeCell="A4" sqref="A4"/>
    </sheetView>
  </sheetViews>
  <sheetFormatPr baseColWidth="10" defaultColWidth="14.44140625" defaultRowHeight="15" customHeight="1" x14ac:dyDescent="0.3"/>
  <cols>
    <col min="1" max="1" width="18" customWidth="1"/>
    <col min="2" max="2" width="14" customWidth="1"/>
    <col min="3" max="3" width="31" customWidth="1"/>
  </cols>
  <sheetData>
    <row r="1" spans="1:3" x14ac:dyDescent="0.3">
      <c r="A1" s="8" t="s">
        <v>1</v>
      </c>
      <c r="B1" s="8" t="s">
        <v>19</v>
      </c>
      <c r="C1" s="8" t="s">
        <v>20</v>
      </c>
    </row>
    <row r="2" spans="1:3" x14ac:dyDescent="0.3">
      <c r="A2" s="9" t="s">
        <v>7</v>
      </c>
      <c r="B2" s="9">
        <f>SUMIF('Marcaciones Reorganizadas'!A:A,"TECNICO1",'Marcaciones Reorganizadas'!I:I)</f>
        <v>13</v>
      </c>
      <c r="C2" s="9">
        <f t="shared" ref="C2:C4" si="0">B2*8*60*0.8</f>
        <v>4992</v>
      </c>
    </row>
    <row r="3" spans="1:3" x14ac:dyDescent="0.3">
      <c r="A3" s="9" t="s">
        <v>13</v>
      </c>
      <c r="B3" s="9">
        <f>SUMIF('Marcaciones Reorganizadas'!A:A,"TECNICO2",'Marcaciones Reorganizadas'!I:I)</f>
        <v>19</v>
      </c>
      <c r="C3" s="9">
        <f t="shared" ref="C3:C4" si="1">B3*8*60*0.8</f>
        <v>7296</v>
      </c>
    </row>
    <row r="4" spans="1:3" x14ac:dyDescent="0.3">
      <c r="A4" s="9" t="s">
        <v>14</v>
      </c>
      <c r="B4" s="9">
        <f>SUMIF('Marcaciones Reorganizadas'!A:A,"TECNICO3",'Marcaciones Reorganizadas'!I:I)</f>
        <v>22</v>
      </c>
      <c r="C4" s="9">
        <f t="shared" si="1"/>
        <v>8448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DF18-9F56-4684-86C7-9669539B754A}">
  <sheetPr>
    <outlinePr summaryBelow="0" summaryRight="0"/>
  </sheetPr>
  <dimension ref="A1:H983"/>
  <sheetViews>
    <sheetView workbookViewId="0">
      <selection activeCell="A2" sqref="A2:A4"/>
    </sheetView>
  </sheetViews>
  <sheetFormatPr baseColWidth="10" defaultColWidth="14.44140625" defaultRowHeight="15" customHeight="1" x14ac:dyDescent="0.3"/>
  <cols>
    <col min="1" max="1" width="39.44140625" customWidth="1"/>
  </cols>
  <sheetData>
    <row r="1" spans="1:8" ht="14.4" x14ac:dyDescent="0.3">
      <c r="A1" s="19" t="s">
        <v>1</v>
      </c>
      <c r="B1" s="19" t="s">
        <v>29</v>
      </c>
      <c r="C1" s="19" t="s">
        <v>30</v>
      </c>
      <c r="D1" s="19" t="s">
        <v>31</v>
      </c>
      <c r="E1" s="19" t="s">
        <v>32</v>
      </c>
      <c r="F1" s="19" t="s">
        <v>33</v>
      </c>
      <c r="G1" s="19" t="s">
        <v>34</v>
      </c>
      <c r="H1" s="19" t="s">
        <v>35</v>
      </c>
    </row>
    <row r="2" spans="1:8" ht="14.4" x14ac:dyDescent="0.3">
      <c r="A2" s="20" t="s">
        <v>7</v>
      </c>
      <c r="B2" s="21">
        <v>1</v>
      </c>
      <c r="C2" s="21">
        <v>1</v>
      </c>
      <c r="D2" s="22">
        <v>1</v>
      </c>
      <c r="E2" s="22">
        <v>1</v>
      </c>
      <c r="F2" s="22">
        <v>1</v>
      </c>
      <c r="G2" s="22">
        <v>0</v>
      </c>
      <c r="H2" s="22">
        <v>0</v>
      </c>
    </row>
    <row r="3" spans="1:8" ht="14.4" x14ac:dyDescent="0.3">
      <c r="A3" s="20" t="s">
        <v>13</v>
      </c>
      <c r="B3" s="21">
        <v>0</v>
      </c>
      <c r="C3" s="21">
        <v>1</v>
      </c>
      <c r="D3" s="22">
        <v>1</v>
      </c>
      <c r="E3" s="22">
        <v>1</v>
      </c>
      <c r="F3" s="22">
        <v>1</v>
      </c>
      <c r="G3" s="22">
        <v>1</v>
      </c>
      <c r="H3" s="22">
        <v>0</v>
      </c>
    </row>
    <row r="4" spans="1:8" ht="14.4" x14ac:dyDescent="0.3">
      <c r="A4" s="20" t="s">
        <v>14</v>
      </c>
      <c r="B4" s="21">
        <v>1</v>
      </c>
      <c r="C4" s="21">
        <v>1</v>
      </c>
      <c r="D4" s="22">
        <v>1</v>
      </c>
      <c r="E4" s="22">
        <v>1</v>
      </c>
      <c r="F4" s="22">
        <v>1</v>
      </c>
      <c r="G4" s="22">
        <v>0</v>
      </c>
      <c r="H4" s="22">
        <v>0</v>
      </c>
    </row>
    <row r="5" spans="1:8" ht="15.75" customHeight="1" x14ac:dyDescent="0.3"/>
    <row r="6" spans="1:8" ht="15.75" customHeight="1" x14ac:dyDescent="0.3"/>
    <row r="7" spans="1:8" ht="15.75" customHeight="1" x14ac:dyDescent="0.3"/>
    <row r="8" spans="1:8" ht="15.75" customHeight="1" x14ac:dyDescent="0.3"/>
    <row r="9" spans="1:8" ht="15.75" customHeight="1" x14ac:dyDescent="0.3"/>
    <row r="10" spans="1:8" ht="15.75" customHeight="1" x14ac:dyDescent="0.3"/>
    <row r="11" spans="1:8" ht="15.75" customHeight="1" x14ac:dyDescent="0.3"/>
    <row r="12" spans="1:8" ht="15.75" customHeight="1" x14ac:dyDescent="0.3"/>
    <row r="13" spans="1:8" ht="15.75" customHeight="1" x14ac:dyDescent="0.3"/>
    <row r="14" spans="1:8" ht="15.75" customHeight="1" x14ac:dyDescent="0.3"/>
    <row r="15" spans="1:8" ht="15.75" customHeight="1" x14ac:dyDescent="0.3"/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</sheetData>
  <phoneticPr fontId="1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EBFD-BB53-427C-B922-533501A569C2}">
  <sheetPr>
    <outlinePr summaryBelow="0" summaryRight="0"/>
  </sheetPr>
  <dimension ref="A1:A1000"/>
  <sheetViews>
    <sheetView workbookViewId="0"/>
  </sheetViews>
  <sheetFormatPr baseColWidth="10" defaultColWidth="14.44140625" defaultRowHeight="15" customHeight="1" x14ac:dyDescent="0.3"/>
  <cols>
    <col min="1" max="1" width="26.109375" customWidth="1"/>
  </cols>
  <sheetData>
    <row r="1" spans="1:1" ht="14.4" x14ac:dyDescent="0.3">
      <c r="A1" s="24" t="s">
        <v>36</v>
      </c>
    </row>
    <row r="2" spans="1:1" ht="14.4" x14ac:dyDescent="0.3">
      <c r="A2" s="25"/>
    </row>
    <row r="3" spans="1:1" ht="14.4" x14ac:dyDescent="0.3">
      <c r="A3" s="23"/>
    </row>
    <row r="4" spans="1:1" ht="14.4" x14ac:dyDescent="0.3">
      <c r="A4" s="2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DEAE-07C4-45E4-B4AF-7C4E1A077618}">
  <sheetPr>
    <outlinePr summaryBelow="0" summaryRight="0"/>
  </sheetPr>
  <dimension ref="A1:H986"/>
  <sheetViews>
    <sheetView workbookViewId="0">
      <selection activeCell="C6" sqref="C6"/>
    </sheetView>
  </sheetViews>
  <sheetFormatPr baseColWidth="10" defaultColWidth="14.44140625" defaultRowHeight="15" customHeight="1" x14ac:dyDescent="0.3"/>
  <cols>
    <col min="2" max="2" width="49" customWidth="1"/>
    <col min="6" max="6" width="28.88671875" customWidth="1"/>
    <col min="7" max="7" width="21.6640625" customWidth="1"/>
  </cols>
  <sheetData>
    <row r="1" spans="1:8" ht="14.4" x14ac:dyDescent="0.3">
      <c r="A1" s="26" t="s">
        <v>37</v>
      </c>
      <c r="B1" s="27" t="s">
        <v>38</v>
      </c>
      <c r="C1" s="27" t="s">
        <v>39</v>
      </c>
      <c r="D1" s="27" t="s">
        <v>40</v>
      </c>
      <c r="E1" s="27" t="s">
        <v>41</v>
      </c>
      <c r="F1" s="27" t="s">
        <v>42</v>
      </c>
      <c r="G1" s="27" t="s">
        <v>43</v>
      </c>
    </row>
    <row r="2" spans="1:8" ht="14.4" x14ac:dyDescent="0.3">
      <c r="A2" s="28">
        <v>42171</v>
      </c>
      <c r="B2" s="28" t="s">
        <v>7</v>
      </c>
      <c r="C2" s="29">
        <v>45922</v>
      </c>
      <c r="D2" s="29">
        <v>45928</v>
      </c>
      <c r="E2" s="28">
        <v>100</v>
      </c>
      <c r="F2" s="28" t="s">
        <v>44</v>
      </c>
      <c r="G2" s="30" t="s">
        <v>45</v>
      </c>
      <c r="H2" s="28"/>
    </row>
    <row r="3" spans="1:8" ht="14.4" x14ac:dyDescent="0.3">
      <c r="A3" s="28">
        <v>42171</v>
      </c>
      <c r="B3" s="28" t="s">
        <v>13</v>
      </c>
      <c r="C3" s="29">
        <v>45929</v>
      </c>
      <c r="D3" s="29">
        <v>45930</v>
      </c>
      <c r="E3" s="28">
        <v>356</v>
      </c>
      <c r="F3" s="28" t="s">
        <v>46</v>
      </c>
      <c r="G3" s="30" t="s">
        <v>47</v>
      </c>
      <c r="H3" s="28"/>
    </row>
    <row r="4" spans="1:8" ht="14.4" x14ac:dyDescent="0.3">
      <c r="A4" s="28">
        <v>30618</v>
      </c>
      <c r="B4" s="28" t="s">
        <v>14</v>
      </c>
      <c r="C4" s="29">
        <v>45905</v>
      </c>
      <c r="D4" s="29">
        <v>45905</v>
      </c>
      <c r="E4" s="28">
        <v>100</v>
      </c>
      <c r="F4" s="28" t="s">
        <v>44</v>
      </c>
      <c r="G4" s="30" t="s">
        <v>48</v>
      </c>
      <c r="H4" s="28"/>
    </row>
    <row r="7" spans="1:8" ht="15.75" customHeight="1" x14ac:dyDescent="0.3"/>
    <row r="8" spans="1:8" ht="15.75" customHeight="1" x14ac:dyDescent="0.3"/>
    <row r="9" spans="1:8" ht="15.75" customHeight="1" x14ac:dyDescent="0.3"/>
    <row r="10" spans="1:8" ht="15.75" customHeight="1" x14ac:dyDescent="0.3"/>
    <row r="11" spans="1:8" ht="15.75" customHeight="1" x14ac:dyDescent="0.3"/>
    <row r="12" spans="1:8" ht="15.75" customHeight="1" x14ac:dyDescent="0.3"/>
    <row r="13" spans="1:8" ht="15.75" customHeight="1" x14ac:dyDescent="0.3"/>
    <row r="14" spans="1:8" ht="15.75" customHeight="1" x14ac:dyDescent="0.3"/>
    <row r="15" spans="1:8" ht="15.75" customHeight="1" x14ac:dyDescent="0.3"/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</sheetData>
  <autoFilter ref="A1:G4" xr:uid="{00000000-0009-0000-0000-000005000000}"/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58BA-448F-4E9E-BE4D-DA2EDD68A0BA}">
  <sheetPr>
    <pageSetUpPr fitToPage="1"/>
  </sheetPr>
  <dimension ref="A1:Q98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6" sqref="C6"/>
    </sheetView>
  </sheetViews>
  <sheetFormatPr baseColWidth="10" defaultColWidth="14.44140625" defaultRowHeight="15" customHeight="1" x14ac:dyDescent="0.3"/>
  <cols>
    <col min="1" max="1" width="3" customWidth="1"/>
    <col min="2" max="2" width="38.6640625" customWidth="1"/>
    <col min="3" max="3" width="15.5546875" customWidth="1"/>
    <col min="4" max="4" width="18.5546875" customWidth="1"/>
    <col min="5" max="5" width="31.33203125" customWidth="1"/>
    <col min="6" max="14" width="10.88671875" customWidth="1"/>
    <col min="15" max="17" width="10.6640625" customWidth="1"/>
  </cols>
  <sheetData>
    <row r="1" spans="1:17" ht="14.25" customHeight="1" x14ac:dyDescent="0.3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ht="14.25" customHeight="1" x14ac:dyDescent="0.3">
      <c r="A2" s="32" t="s">
        <v>49</v>
      </c>
      <c r="B2" s="33" t="s">
        <v>50</v>
      </c>
      <c r="C2" s="33" t="s">
        <v>51</v>
      </c>
      <c r="D2" s="34" t="s">
        <v>52</v>
      </c>
      <c r="E2" s="35" t="s">
        <v>53</v>
      </c>
      <c r="F2" s="36"/>
      <c r="G2" s="36"/>
      <c r="H2" s="36"/>
      <c r="I2" s="36"/>
      <c r="J2" s="36"/>
      <c r="K2" s="36"/>
      <c r="L2" s="36"/>
      <c r="M2" s="36"/>
      <c r="N2" s="31"/>
      <c r="O2" s="31"/>
      <c r="P2" s="31"/>
      <c r="Q2" s="31"/>
    </row>
    <row r="3" spans="1:17" ht="14.25" customHeight="1" x14ac:dyDescent="0.3">
      <c r="A3" s="23">
        <v>1</v>
      </c>
      <c r="B3" s="37" t="s">
        <v>7</v>
      </c>
      <c r="C3" s="37">
        <v>1600000001</v>
      </c>
      <c r="D3" s="37" t="s">
        <v>54</v>
      </c>
      <c r="E3" s="38" t="s">
        <v>55</v>
      </c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</row>
    <row r="4" spans="1:17" ht="14.25" customHeight="1" x14ac:dyDescent="0.3">
      <c r="A4" s="23">
        <v>2</v>
      </c>
      <c r="B4" s="37" t="s">
        <v>13</v>
      </c>
      <c r="C4" s="37">
        <v>1600000002</v>
      </c>
      <c r="D4" s="37" t="s">
        <v>54</v>
      </c>
      <c r="E4" s="38" t="s">
        <v>56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</row>
    <row r="5" spans="1:17" ht="14.25" customHeight="1" x14ac:dyDescent="0.3">
      <c r="A5" s="23">
        <v>3</v>
      </c>
      <c r="B5" s="37" t="s">
        <v>14</v>
      </c>
      <c r="C5" s="37">
        <v>1600000003</v>
      </c>
      <c r="D5" s="37" t="s">
        <v>54</v>
      </c>
      <c r="E5" s="38" t="s">
        <v>57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</row>
    <row r="6" spans="1:17" ht="14.25" customHeight="1" x14ac:dyDescent="0.3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</row>
    <row r="7" spans="1:17" ht="14.25" customHeight="1" x14ac:dyDescent="0.3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</row>
    <row r="8" spans="1:17" ht="14.25" customHeight="1" x14ac:dyDescent="0.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</row>
    <row r="9" spans="1:17" ht="14.25" customHeight="1" x14ac:dyDescent="0.3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</row>
    <row r="10" spans="1:17" ht="14.25" customHeight="1" x14ac:dyDescent="0.3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spans="1:17" ht="14.25" customHeight="1" x14ac:dyDescent="0.3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</row>
    <row r="12" spans="1:17" ht="14.25" customHeight="1" x14ac:dyDescent="0.3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</row>
    <row r="13" spans="1:17" ht="14.25" customHeight="1" x14ac:dyDescent="0.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</row>
    <row r="14" spans="1:17" ht="14.25" customHeight="1" x14ac:dyDescent="0.3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</row>
    <row r="15" spans="1:17" ht="14.25" customHeight="1" x14ac:dyDescent="0.3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</row>
    <row r="16" spans="1:17" ht="14.25" customHeight="1" x14ac:dyDescent="0.3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</row>
    <row r="17" spans="1:17" ht="14.25" customHeight="1" x14ac:dyDescent="0.3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</row>
    <row r="18" spans="1:17" ht="14.25" customHeight="1" x14ac:dyDescent="0.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</row>
    <row r="19" spans="1:17" ht="14.25" customHeight="1" x14ac:dyDescent="0.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</row>
    <row r="20" spans="1:17" ht="14.25" customHeight="1" x14ac:dyDescent="0.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</row>
    <row r="21" spans="1:17" ht="14.25" customHeight="1" x14ac:dyDescent="0.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</row>
    <row r="22" spans="1:17" ht="14.25" customHeight="1" x14ac:dyDescent="0.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</row>
    <row r="23" spans="1:17" ht="14.25" customHeight="1" x14ac:dyDescent="0.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</row>
    <row r="24" spans="1:17" ht="14.25" customHeight="1" x14ac:dyDescent="0.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</row>
    <row r="25" spans="1:17" ht="14.25" customHeight="1" x14ac:dyDescent="0.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</row>
    <row r="26" spans="1:17" ht="14.25" customHeight="1" x14ac:dyDescent="0.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</row>
    <row r="27" spans="1:17" ht="14.25" customHeight="1" x14ac:dyDescent="0.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</row>
    <row r="28" spans="1:17" ht="14.25" customHeight="1" x14ac:dyDescent="0.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</row>
    <row r="29" spans="1:17" ht="14.25" customHeight="1" x14ac:dyDescent="0.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</row>
    <row r="30" spans="1:17" ht="14.25" customHeight="1" x14ac:dyDescent="0.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</row>
    <row r="31" spans="1:17" ht="14.25" customHeight="1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</row>
    <row r="32" spans="1:17" ht="14.25" customHeight="1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</row>
    <row r="33" spans="1:17" ht="14.25" customHeight="1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</row>
    <row r="34" spans="1:17" ht="14.25" customHeight="1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</row>
    <row r="35" spans="1:17" ht="14.25" customHeight="1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</row>
    <row r="36" spans="1:17" ht="14.25" customHeight="1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</row>
    <row r="37" spans="1:17" ht="14.25" customHeight="1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</row>
    <row r="38" spans="1:17" ht="14.25" customHeight="1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</row>
    <row r="39" spans="1:17" ht="14.25" customHeight="1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</row>
    <row r="40" spans="1:17" ht="14.25" customHeight="1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</row>
    <row r="41" spans="1:17" ht="14.25" customHeight="1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</row>
    <row r="42" spans="1:17" ht="14.25" customHeight="1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1:17" ht="14.25" customHeight="1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1:17" ht="14.25" customHeight="1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1:17" ht="14.25" customHeight="1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1:17" ht="14.25" customHeight="1" x14ac:dyDescent="0.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1:17" ht="14.25" customHeight="1" x14ac:dyDescent="0.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1:17" ht="14.25" customHeight="1" x14ac:dyDescent="0.3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1:17" ht="14.25" customHeight="1" x14ac:dyDescent="0.3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1:17" ht="14.25" customHeight="1" x14ac:dyDescent="0.3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1:17" ht="14.25" customHeight="1" x14ac:dyDescent="0.3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1:17" ht="14.25" customHeight="1" x14ac:dyDescent="0.3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1:17" ht="14.25" customHeight="1" x14ac:dyDescent="0.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1:17" ht="14.25" customHeight="1" x14ac:dyDescent="0.3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1:17" ht="14.25" customHeight="1" x14ac:dyDescent="0.3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1:17" ht="14.25" customHeight="1" x14ac:dyDescent="0.3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1:17" ht="14.25" customHeight="1" x14ac:dyDescent="0.3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1:17" ht="14.25" customHeight="1" x14ac:dyDescent="0.3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1:17" ht="14.25" customHeight="1" x14ac:dyDescent="0.3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1:17" ht="14.25" customHeight="1" x14ac:dyDescent="0.3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1:17" ht="14.25" customHeight="1" x14ac:dyDescent="0.3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1:17" ht="14.25" customHeight="1" x14ac:dyDescent="0.3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1:17" ht="14.25" customHeight="1" x14ac:dyDescent="0.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1:17" ht="14.25" customHeight="1" x14ac:dyDescent="0.3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1:17" ht="14.25" customHeight="1" x14ac:dyDescent="0.3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1:17" ht="14.25" customHeight="1" x14ac:dyDescent="0.3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1:17" ht="14.25" customHeight="1" x14ac:dyDescent="0.3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1:17" ht="14.25" customHeight="1" x14ac:dyDescent="0.3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1:17" ht="14.25" customHeight="1" x14ac:dyDescent="0.3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1:17" ht="14.25" customHeight="1" x14ac:dyDescent="0.3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1:17" ht="14.25" customHeight="1" x14ac:dyDescent="0.3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1:17" ht="14.25" customHeight="1" x14ac:dyDescent="0.3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1:17" ht="14.25" customHeight="1" x14ac:dyDescent="0.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1:17" ht="14.25" customHeight="1" x14ac:dyDescent="0.3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1:17" ht="14.25" customHeight="1" x14ac:dyDescent="0.3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1:17" ht="14.25" customHeight="1" x14ac:dyDescent="0.3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1:17" ht="14.25" customHeight="1" x14ac:dyDescent="0.3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1:17" ht="14.25" customHeight="1" x14ac:dyDescent="0.3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1:17" ht="14.25" customHeight="1" x14ac:dyDescent="0.3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1:17" ht="14.25" customHeight="1" x14ac:dyDescent="0.3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1:17" ht="14.25" customHeight="1" x14ac:dyDescent="0.3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1:17" ht="14.25" customHeight="1" x14ac:dyDescent="0.3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  <row r="83" spans="1:17" ht="14.25" customHeight="1" x14ac:dyDescent="0.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</row>
    <row r="84" spans="1:17" ht="14.25" customHeight="1" x14ac:dyDescent="0.3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</row>
    <row r="85" spans="1:17" ht="14.25" customHeight="1" x14ac:dyDescent="0.3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</row>
    <row r="86" spans="1:17" ht="14.25" customHeight="1" x14ac:dyDescent="0.3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</row>
    <row r="87" spans="1:17" ht="14.25" customHeight="1" x14ac:dyDescent="0.3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</row>
    <row r="88" spans="1:17" ht="14.25" customHeight="1" x14ac:dyDescent="0.3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</row>
    <row r="89" spans="1:17" ht="14.25" customHeight="1" x14ac:dyDescent="0.3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</row>
    <row r="90" spans="1:17" ht="14.25" customHeight="1" x14ac:dyDescent="0.3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</row>
    <row r="91" spans="1:17" ht="14.25" customHeight="1" x14ac:dyDescent="0.3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</row>
    <row r="92" spans="1:17" ht="14.25" customHeight="1" x14ac:dyDescent="0.3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</row>
    <row r="93" spans="1:17" ht="14.25" customHeight="1" x14ac:dyDescent="0.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</row>
    <row r="94" spans="1:17" ht="14.25" customHeight="1" x14ac:dyDescent="0.3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</row>
    <row r="95" spans="1:17" ht="14.25" customHeight="1" x14ac:dyDescent="0.3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</row>
    <row r="96" spans="1:17" ht="14.25" customHeight="1" x14ac:dyDescent="0.3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</row>
    <row r="97" spans="1:17" ht="14.25" customHeight="1" x14ac:dyDescent="0.3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</row>
    <row r="98" spans="1:17" ht="14.25" customHeight="1" x14ac:dyDescent="0.3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</row>
    <row r="99" spans="1:17" ht="14.25" customHeight="1" x14ac:dyDescent="0.3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</row>
    <row r="100" spans="1:17" ht="14.25" customHeight="1" x14ac:dyDescent="0.3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</row>
    <row r="101" spans="1:17" ht="14.25" customHeight="1" x14ac:dyDescent="0.3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</row>
    <row r="102" spans="1:17" ht="14.25" customHeight="1" x14ac:dyDescent="0.3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</row>
    <row r="103" spans="1:17" ht="14.25" customHeight="1" x14ac:dyDescent="0.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</row>
    <row r="104" spans="1:17" ht="14.25" customHeight="1" x14ac:dyDescent="0.3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</row>
    <row r="105" spans="1:17" ht="14.25" customHeight="1" x14ac:dyDescent="0.3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</row>
    <row r="106" spans="1:17" ht="14.25" customHeight="1" x14ac:dyDescent="0.3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</row>
    <row r="107" spans="1:17" ht="14.25" customHeight="1" x14ac:dyDescent="0.3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</row>
    <row r="108" spans="1:17" ht="14.25" customHeight="1" x14ac:dyDescent="0.3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</row>
    <row r="109" spans="1:17" ht="14.25" customHeight="1" x14ac:dyDescent="0.3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</row>
    <row r="110" spans="1:17" ht="14.25" customHeight="1" x14ac:dyDescent="0.3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</row>
    <row r="111" spans="1:17" ht="14.25" customHeight="1" x14ac:dyDescent="0.3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</row>
    <row r="112" spans="1:17" ht="14.25" customHeight="1" x14ac:dyDescent="0.3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</row>
    <row r="113" spans="1:17" ht="14.25" customHeight="1" x14ac:dyDescent="0.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</row>
    <row r="114" spans="1:17" ht="14.25" customHeight="1" x14ac:dyDescent="0.3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</row>
    <row r="115" spans="1:17" ht="14.25" customHeight="1" x14ac:dyDescent="0.3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</row>
    <row r="116" spans="1:17" ht="14.25" customHeight="1" x14ac:dyDescent="0.3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</row>
    <row r="117" spans="1:17" ht="14.25" customHeight="1" x14ac:dyDescent="0.3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</row>
    <row r="118" spans="1:17" ht="14.25" customHeight="1" x14ac:dyDescent="0.3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</row>
    <row r="119" spans="1:17" ht="14.25" customHeight="1" x14ac:dyDescent="0.3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</row>
    <row r="120" spans="1:17" ht="14.25" customHeight="1" x14ac:dyDescent="0.3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</row>
    <row r="121" spans="1:17" ht="14.25" customHeight="1" x14ac:dyDescent="0.3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</row>
    <row r="122" spans="1:17" ht="14.25" customHeight="1" x14ac:dyDescent="0.3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</row>
    <row r="123" spans="1:17" ht="14.25" customHeight="1" x14ac:dyDescent="0.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</row>
    <row r="124" spans="1:17" ht="14.25" customHeight="1" x14ac:dyDescent="0.3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</row>
    <row r="125" spans="1:17" ht="14.25" customHeight="1" x14ac:dyDescent="0.3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</row>
    <row r="126" spans="1:17" ht="14.25" customHeight="1" x14ac:dyDescent="0.3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</row>
    <row r="127" spans="1:17" ht="14.25" customHeight="1" x14ac:dyDescent="0.3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</row>
    <row r="128" spans="1:17" ht="14.25" customHeight="1" x14ac:dyDescent="0.3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</row>
    <row r="129" spans="1:17" ht="14.25" customHeight="1" x14ac:dyDescent="0.3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</row>
    <row r="130" spans="1:17" ht="14.25" customHeight="1" x14ac:dyDescent="0.3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</row>
    <row r="131" spans="1:17" ht="14.25" customHeight="1" x14ac:dyDescent="0.3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</row>
    <row r="132" spans="1:17" ht="14.25" customHeight="1" x14ac:dyDescent="0.3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</row>
    <row r="133" spans="1:17" ht="14.25" customHeight="1" x14ac:dyDescent="0.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</row>
    <row r="134" spans="1:17" ht="14.25" customHeight="1" x14ac:dyDescent="0.3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</row>
    <row r="135" spans="1:17" ht="14.25" customHeight="1" x14ac:dyDescent="0.3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</row>
    <row r="136" spans="1:17" ht="14.25" customHeight="1" x14ac:dyDescent="0.3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</row>
    <row r="137" spans="1:17" ht="14.25" customHeight="1" x14ac:dyDescent="0.3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</row>
    <row r="138" spans="1:17" ht="14.25" customHeight="1" x14ac:dyDescent="0.3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</row>
    <row r="139" spans="1:17" ht="14.25" customHeight="1" x14ac:dyDescent="0.3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</row>
    <row r="140" spans="1:17" ht="14.25" customHeight="1" x14ac:dyDescent="0.3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</row>
    <row r="141" spans="1:17" ht="14.25" customHeight="1" x14ac:dyDescent="0.3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</row>
    <row r="142" spans="1:17" ht="14.25" customHeight="1" x14ac:dyDescent="0.3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</row>
    <row r="143" spans="1:17" ht="14.25" customHeight="1" x14ac:dyDescent="0.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</row>
    <row r="144" spans="1:17" ht="14.25" customHeight="1" x14ac:dyDescent="0.3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</row>
    <row r="145" spans="1:17" ht="14.25" customHeight="1" x14ac:dyDescent="0.3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</row>
    <row r="146" spans="1:17" ht="14.25" customHeight="1" x14ac:dyDescent="0.3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</row>
    <row r="147" spans="1:17" ht="14.25" customHeight="1" x14ac:dyDescent="0.3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</row>
    <row r="148" spans="1:17" ht="14.25" customHeight="1" x14ac:dyDescent="0.3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</row>
    <row r="149" spans="1:17" ht="14.25" customHeight="1" x14ac:dyDescent="0.3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</row>
    <row r="150" spans="1:17" ht="14.25" customHeight="1" x14ac:dyDescent="0.3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</row>
    <row r="151" spans="1:17" ht="14.25" customHeight="1" x14ac:dyDescent="0.3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</row>
    <row r="152" spans="1:17" ht="14.25" customHeight="1" x14ac:dyDescent="0.3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</row>
    <row r="153" spans="1:17" ht="14.25" customHeight="1" x14ac:dyDescent="0.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</row>
    <row r="154" spans="1:17" ht="14.25" customHeight="1" x14ac:dyDescent="0.3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</row>
    <row r="155" spans="1:17" ht="14.25" customHeight="1" x14ac:dyDescent="0.3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</row>
    <row r="156" spans="1:17" ht="14.25" customHeight="1" x14ac:dyDescent="0.3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</row>
    <row r="157" spans="1:17" ht="14.25" customHeight="1" x14ac:dyDescent="0.3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</row>
    <row r="158" spans="1:17" ht="14.25" customHeight="1" x14ac:dyDescent="0.3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</row>
    <row r="159" spans="1:17" ht="14.25" customHeight="1" x14ac:dyDescent="0.3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</row>
    <row r="160" spans="1:17" ht="14.25" customHeight="1" x14ac:dyDescent="0.3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</row>
    <row r="161" spans="1:17" ht="14.25" customHeight="1" x14ac:dyDescent="0.3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</row>
    <row r="162" spans="1:17" ht="14.25" customHeight="1" x14ac:dyDescent="0.3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</row>
    <row r="163" spans="1:17" ht="14.25" customHeight="1" x14ac:dyDescent="0.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</row>
    <row r="164" spans="1:17" ht="14.25" customHeight="1" x14ac:dyDescent="0.3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</row>
    <row r="165" spans="1:17" ht="14.25" customHeight="1" x14ac:dyDescent="0.3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</row>
    <row r="166" spans="1:17" ht="14.25" customHeight="1" x14ac:dyDescent="0.3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</row>
    <row r="167" spans="1:17" ht="14.25" customHeight="1" x14ac:dyDescent="0.3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</row>
    <row r="168" spans="1:17" ht="14.25" customHeight="1" x14ac:dyDescent="0.3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</row>
    <row r="169" spans="1:17" ht="14.25" customHeight="1" x14ac:dyDescent="0.3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</row>
    <row r="170" spans="1:17" ht="14.25" customHeight="1" x14ac:dyDescent="0.3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</row>
    <row r="171" spans="1:17" ht="14.25" customHeight="1" x14ac:dyDescent="0.3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</row>
    <row r="172" spans="1:17" ht="14.25" customHeight="1" x14ac:dyDescent="0.3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</row>
    <row r="173" spans="1:17" ht="14.25" customHeight="1" x14ac:dyDescent="0.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</row>
    <row r="174" spans="1:17" ht="14.25" customHeight="1" x14ac:dyDescent="0.3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</row>
    <row r="175" spans="1:17" ht="14.25" customHeight="1" x14ac:dyDescent="0.3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</row>
    <row r="176" spans="1:17" ht="14.25" customHeight="1" x14ac:dyDescent="0.3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</row>
    <row r="177" spans="1:17" ht="14.25" customHeight="1" x14ac:dyDescent="0.3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</row>
    <row r="178" spans="1:17" ht="14.25" customHeight="1" x14ac:dyDescent="0.3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</row>
    <row r="179" spans="1:17" ht="14.25" customHeight="1" x14ac:dyDescent="0.3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</row>
    <row r="180" spans="1:17" ht="14.25" customHeight="1" x14ac:dyDescent="0.3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</row>
    <row r="181" spans="1:17" ht="14.25" customHeight="1" x14ac:dyDescent="0.3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</row>
    <row r="182" spans="1:17" ht="14.25" customHeight="1" x14ac:dyDescent="0.3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</row>
    <row r="183" spans="1:17" ht="14.25" customHeight="1" x14ac:dyDescent="0.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</row>
    <row r="184" spans="1:17" ht="14.25" customHeight="1" x14ac:dyDescent="0.3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</row>
    <row r="185" spans="1:17" ht="14.25" customHeight="1" x14ac:dyDescent="0.3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</row>
    <row r="186" spans="1:17" ht="14.25" customHeight="1" x14ac:dyDescent="0.3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</row>
    <row r="187" spans="1:17" ht="14.25" customHeight="1" x14ac:dyDescent="0.3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</row>
    <row r="188" spans="1:17" ht="14.25" customHeight="1" x14ac:dyDescent="0.3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</row>
    <row r="189" spans="1:17" ht="14.25" customHeight="1" x14ac:dyDescent="0.3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</row>
    <row r="190" spans="1:17" ht="14.25" customHeight="1" x14ac:dyDescent="0.3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</row>
    <row r="191" spans="1:17" ht="14.25" customHeight="1" x14ac:dyDescent="0.3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</row>
    <row r="192" spans="1:17" ht="14.25" customHeight="1" x14ac:dyDescent="0.3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</row>
    <row r="193" spans="1:17" ht="14.25" customHeight="1" x14ac:dyDescent="0.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</row>
    <row r="194" spans="1:17" ht="14.25" customHeight="1" x14ac:dyDescent="0.3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</row>
    <row r="195" spans="1:17" ht="14.25" customHeight="1" x14ac:dyDescent="0.3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</row>
    <row r="196" spans="1:17" ht="14.25" customHeight="1" x14ac:dyDescent="0.3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</row>
    <row r="197" spans="1:17" ht="14.25" customHeight="1" x14ac:dyDescent="0.3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</row>
    <row r="198" spans="1:17" ht="14.25" customHeight="1" x14ac:dyDescent="0.3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</row>
    <row r="199" spans="1:17" ht="14.25" customHeight="1" x14ac:dyDescent="0.3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</row>
    <row r="200" spans="1:17" ht="14.25" customHeight="1" x14ac:dyDescent="0.3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</row>
    <row r="201" spans="1:17" ht="14.25" customHeight="1" x14ac:dyDescent="0.3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</row>
    <row r="202" spans="1:17" ht="14.25" customHeight="1" x14ac:dyDescent="0.3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</row>
    <row r="203" spans="1:17" ht="14.25" customHeight="1" x14ac:dyDescent="0.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</row>
    <row r="204" spans="1:17" ht="14.25" customHeight="1" x14ac:dyDescent="0.3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</row>
    <row r="205" spans="1:17" ht="14.25" customHeight="1" x14ac:dyDescent="0.3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</row>
    <row r="206" spans="1:17" ht="14.25" customHeight="1" x14ac:dyDescent="0.3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</row>
    <row r="207" spans="1:17" ht="14.25" customHeight="1" x14ac:dyDescent="0.3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</row>
    <row r="208" spans="1:17" ht="14.25" customHeight="1" x14ac:dyDescent="0.3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</row>
    <row r="209" spans="1:17" ht="14.25" customHeight="1" x14ac:dyDescent="0.3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</row>
    <row r="210" spans="1:17" ht="14.25" customHeight="1" x14ac:dyDescent="0.3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</row>
    <row r="211" spans="1:17" ht="14.25" customHeight="1" x14ac:dyDescent="0.3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</row>
    <row r="212" spans="1:17" ht="14.25" customHeight="1" x14ac:dyDescent="0.3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</row>
    <row r="213" spans="1:17" ht="14.25" customHeight="1" x14ac:dyDescent="0.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</row>
    <row r="214" spans="1:17" ht="14.25" customHeight="1" x14ac:dyDescent="0.3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</row>
    <row r="215" spans="1:17" ht="14.25" customHeight="1" x14ac:dyDescent="0.3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</row>
    <row r="216" spans="1:17" ht="14.25" customHeight="1" x14ac:dyDescent="0.3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</row>
    <row r="217" spans="1:17" ht="14.25" customHeight="1" x14ac:dyDescent="0.3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</row>
    <row r="218" spans="1:17" ht="14.25" customHeight="1" x14ac:dyDescent="0.3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</row>
    <row r="219" spans="1:17" ht="14.25" customHeight="1" x14ac:dyDescent="0.3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</row>
    <row r="220" spans="1:17" ht="14.25" customHeight="1" x14ac:dyDescent="0.3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</row>
    <row r="221" spans="1:17" ht="14.25" customHeight="1" x14ac:dyDescent="0.3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</row>
    <row r="222" spans="1:17" ht="14.25" customHeight="1" x14ac:dyDescent="0.3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</row>
    <row r="223" spans="1:17" ht="14.25" customHeight="1" x14ac:dyDescent="0.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</row>
    <row r="224" spans="1:17" ht="14.25" customHeight="1" x14ac:dyDescent="0.3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</row>
    <row r="225" spans="1:17" ht="14.25" customHeight="1" x14ac:dyDescent="0.3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</row>
    <row r="226" spans="1:17" ht="14.25" customHeight="1" x14ac:dyDescent="0.3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</row>
    <row r="227" spans="1:17" ht="14.25" customHeight="1" x14ac:dyDescent="0.3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</row>
    <row r="228" spans="1:17" ht="14.25" customHeight="1" x14ac:dyDescent="0.3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</row>
    <row r="229" spans="1:17" ht="14.25" customHeight="1" x14ac:dyDescent="0.3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</row>
    <row r="230" spans="1:17" ht="14.25" customHeight="1" x14ac:dyDescent="0.3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</row>
    <row r="231" spans="1:17" ht="14.25" customHeight="1" x14ac:dyDescent="0.3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</row>
    <row r="232" spans="1:17" ht="14.25" customHeight="1" x14ac:dyDescent="0.3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</row>
    <row r="233" spans="1:17" ht="14.25" customHeight="1" x14ac:dyDescent="0.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</row>
    <row r="234" spans="1:17" ht="14.25" customHeight="1" x14ac:dyDescent="0.3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</row>
    <row r="235" spans="1:17" ht="14.25" customHeight="1" x14ac:dyDescent="0.3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</row>
    <row r="236" spans="1:17" ht="14.25" customHeight="1" x14ac:dyDescent="0.3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</row>
    <row r="237" spans="1:17" ht="14.25" customHeight="1" x14ac:dyDescent="0.3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</row>
    <row r="238" spans="1:17" ht="14.25" customHeight="1" x14ac:dyDescent="0.3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</row>
    <row r="239" spans="1:17" ht="14.25" customHeight="1" x14ac:dyDescent="0.3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</row>
    <row r="240" spans="1:17" ht="14.25" customHeight="1" x14ac:dyDescent="0.3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</row>
    <row r="241" spans="1:17" ht="14.25" customHeight="1" x14ac:dyDescent="0.3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</row>
    <row r="242" spans="1:17" ht="14.25" customHeight="1" x14ac:dyDescent="0.3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</row>
    <row r="243" spans="1:17" ht="14.25" customHeight="1" x14ac:dyDescent="0.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</row>
    <row r="244" spans="1:17" ht="14.25" customHeight="1" x14ac:dyDescent="0.3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</row>
    <row r="245" spans="1:17" ht="14.25" customHeight="1" x14ac:dyDescent="0.3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</row>
    <row r="246" spans="1:17" ht="14.25" customHeight="1" x14ac:dyDescent="0.3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</row>
    <row r="247" spans="1:17" ht="14.25" customHeight="1" x14ac:dyDescent="0.3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</row>
    <row r="248" spans="1:17" ht="14.25" customHeight="1" x14ac:dyDescent="0.3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</row>
    <row r="249" spans="1:17" ht="14.25" customHeight="1" x14ac:dyDescent="0.3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</row>
    <row r="250" spans="1:17" ht="14.25" customHeight="1" x14ac:dyDescent="0.3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</row>
    <row r="251" spans="1:17" ht="14.25" customHeight="1" x14ac:dyDescent="0.3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</row>
    <row r="252" spans="1:17" ht="14.25" customHeight="1" x14ac:dyDescent="0.3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</row>
    <row r="253" spans="1:17" ht="14.25" customHeight="1" x14ac:dyDescent="0.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</row>
    <row r="254" spans="1:17" ht="14.25" customHeight="1" x14ac:dyDescent="0.3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</row>
    <row r="255" spans="1:17" ht="14.25" customHeight="1" x14ac:dyDescent="0.3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</row>
    <row r="256" spans="1:17" ht="14.25" customHeight="1" x14ac:dyDescent="0.3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</row>
    <row r="257" spans="1:17" ht="14.25" customHeight="1" x14ac:dyDescent="0.3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</row>
    <row r="258" spans="1:17" ht="14.25" customHeight="1" x14ac:dyDescent="0.3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</row>
    <row r="259" spans="1:17" ht="14.25" customHeight="1" x14ac:dyDescent="0.3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</row>
    <row r="260" spans="1:17" ht="14.25" customHeight="1" x14ac:dyDescent="0.3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</row>
    <row r="261" spans="1:17" ht="14.25" customHeight="1" x14ac:dyDescent="0.3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</row>
    <row r="262" spans="1:17" ht="14.25" customHeight="1" x14ac:dyDescent="0.3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</row>
    <row r="263" spans="1:17" ht="14.25" customHeight="1" x14ac:dyDescent="0.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</row>
    <row r="264" spans="1:17" ht="14.25" customHeight="1" x14ac:dyDescent="0.3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</row>
    <row r="265" spans="1:17" ht="14.25" customHeight="1" x14ac:dyDescent="0.3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</row>
    <row r="266" spans="1:17" ht="14.25" customHeight="1" x14ac:dyDescent="0.3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</row>
    <row r="267" spans="1:17" ht="14.25" customHeight="1" x14ac:dyDescent="0.3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</row>
    <row r="268" spans="1:17" ht="14.25" customHeight="1" x14ac:dyDescent="0.3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</row>
    <row r="269" spans="1:17" ht="14.25" customHeight="1" x14ac:dyDescent="0.3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</row>
    <row r="270" spans="1:17" ht="14.25" customHeight="1" x14ac:dyDescent="0.3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</row>
    <row r="271" spans="1:17" ht="14.25" customHeight="1" x14ac:dyDescent="0.3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</row>
    <row r="272" spans="1:17" ht="14.25" customHeight="1" x14ac:dyDescent="0.3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</row>
    <row r="273" spans="1:17" ht="14.25" customHeight="1" x14ac:dyDescent="0.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</row>
    <row r="274" spans="1:17" ht="14.25" customHeight="1" x14ac:dyDescent="0.3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</row>
    <row r="275" spans="1:17" ht="14.25" customHeight="1" x14ac:dyDescent="0.3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</row>
    <row r="276" spans="1:17" ht="14.25" customHeight="1" x14ac:dyDescent="0.3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</row>
    <row r="277" spans="1:17" ht="14.25" customHeight="1" x14ac:dyDescent="0.3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</row>
    <row r="278" spans="1:17" ht="14.25" customHeight="1" x14ac:dyDescent="0.3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</row>
    <row r="279" spans="1:17" ht="14.25" customHeight="1" x14ac:dyDescent="0.3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</row>
    <row r="280" spans="1:17" ht="14.25" customHeight="1" x14ac:dyDescent="0.3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</row>
    <row r="281" spans="1:17" ht="14.25" customHeight="1" x14ac:dyDescent="0.3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</row>
    <row r="282" spans="1:17" ht="14.25" customHeight="1" x14ac:dyDescent="0.3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</row>
    <row r="283" spans="1:17" ht="14.25" customHeight="1" x14ac:dyDescent="0.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</row>
    <row r="284" spans="1:17" ht="14.25" customHeight="1" x14ac:dyDescent="0.3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</row>
    <row r="285" spans="1:17" ht="14.25" customHeight="1" x14ac:dyDescent="0.3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</row>
    <row r="286" spans="1:17" ht="14.25" customHeight="1" x14ac:dyDescent="0.3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</row>
    <row r="287" spans="1:17" ht="14.25" customHeight="1" x14ac:dyDescent="0.3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</row>
    <row r="288" spans="1:17" ht="14.25" customHeight="1" x14ac:dyDescent="0.3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</row>
    <row r="289" spans="1:17" ht="14.25" customHeight="1" x14ac:dyDescent="0.3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</row>
    <row r="290" spans="1:17" ht="14.25" customHeight="1" x14ac:dyDescent="0.3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</row>
    <row r="291" spans="1:17" ht="14.25" customHeight="1" x14ac:dyDescent="0.3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</row>
    <row r="292" spans="1:17" ht="14.25" customHeight="1" x14ac:dyDescent="0.3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</row>
    <row r="293" spans="1:17" ht="14.25" customHeight="1" x14ac:dyDescent="0.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</row>
    <row r="294" spans="1:17" ht="14.25" customHeight="1" x14ac:dyDescent="0.3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</row>
    <row r="295" spans="1:17" ht="14.25" customHeight="1" x14ac:dyDescent="0.3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</row>
    <row r="296" spans="1:17" ht="14.25" customHeight="1" x14ac:dyDescent="0.3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</row>
    <row r="297" spans="1:17" ht="14.25" customHeight="1" x14ac:dyDescent="0.3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</row>
    <row r="298" spans="1:17" ht="14.25" customHeight="1" x14ac:dyDescent="0.3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</row>
    <row r="299" spans="1:17" ht="14.25" customHeight="1" x14ac:dyDescent="0.3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</row>
    <row r="300" spans="1:17" ht="14.25" customHeight="1" x14ac:dyDescent="0.3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</row>
    <row r="301" spans="1:17" ht="14.25" customHeight="1" x14ac:dyDescent="0.3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</row>
    <row r="302" spans="1:17" ht="14.25" customHeight="1" x14ac:dyDescent="0.3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</row>
    <row r="303" spans="1:17" ht="14.25" customHeight="1" x14ac:dyDescent="0.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</row>
    <row r="304" spans="1:17" ht="14.25" customHeight="1" x14ac:dyDescent="0.3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</row>
    <row r="305" spans="1:17" ht="14.25" customHeight="1" x14ac:dyDescent="0.3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</row>
    <row r="306" spans="1:17" ht="14.25" customHeight="1" x14ac:dyDescent="0.3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</row>
    <row r="307" spans="1:17" ht="14.25" customHeight="1" x14ac:dyDescent="0.3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</row>
    <row r="308" spans="1:17" ht="14.25" customHeight="1" x14ac:dyDescent="0.3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</row>
    <row r="309" spans="1:17" ht="14.25" customHeight="1" x14ac:dyDescent="0.3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</row>
    <row r="310" spans="1:17" ht="14.25" customHeight="1" x14ac:dyDescent="0.3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</row>
    <row r="311" spans="1:17" ht="14.25" customHeight="1" x14ac:dyDescent="0.3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</row>
    <row r="312" spans="1:17" ht="14.25" customHeight="1" x14ac:dyDescent="0.3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</row>
    <row r="313" spans="1:17" ht="14.25" customHeight="1" x14ac:dyDescent="0.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</row>
    <row r="314" spans="1:17" ht="14.25" customHeight="1" x14ac:dyDescent="0.3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</row>
    <row r="315" spans="1:17" ht="14.25" customHeight="1" x14ac:dyDescent="0.3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</row>
    <row r="316" spans="1:17" ht="14.25" customHeight="1" x14ac:dyDescent="0.3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</row>
    <row r="317" spans="1:17" ht="14.25" customHeight="1" x14ac:dyDescent="0.3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</row>
    <row r="318" spans="1:17" ht="14.25" customHeight="1" x14ac:dyDescent="0.3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</row>
    <row r="319" spans="1:17" ht="14.25" customHeight="1" x14ac:dyDescent="0.3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</row>
    <row r="320" spans="1:17" ht="14.25" customHeight="1" x14ac:dyDescent="0.3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</row>
    <row r="321" spans="1:17" ht="14.25" customHeight="1" x14ac:dyDescent="0.3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</row>
    <row r="322" spans="1:17" ht="14.25" customHeight="1" x14ac:dyDescent="0.3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</row>
    <row r="323" spans="1:17" ht="14.25" customHeight="1" x14ac:dyDescent="0.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</row>
    <row r="324" spans="1:17" ht="14.25" customHeight="1" x14ac:dyDescent="0.3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</row>
    <row r="325" spans="1:17" ht="14.25" customHeight="1" x14ac:dyDescent="0.3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</row>
    <row r="326" spans="1:17" ht="14.25" customHeight="1" x14ac:dyDescent="0.3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</row>
    <row r="327" spans="1:17" ht="14.25" customHeight="1" x14ac:dyDescent="0.3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</row>
    <row r="328" spans="1:17" ht="14.25" customHeight="1" x14ac:dyDescent="0.3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</row>
    <row r="329" spans="1:17" ht="14.25" customHeight="1" x14ac:dyDescent="0.3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</row>
    <row r="330" spans="1:17" ht="14.25" customHeight="1" x14ac:dyDescent="0.3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</row>
    <row r="331" spans="1:17" ht="14.25" customHeight="1" x14ac:dyDescent="0.3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</row>
    <row r="332" spans="1:17" ht="14.25" customHeight="1" x14ac:dyDescent="0.3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</row>
    <row r="333" spans="1:17" ht="14.25" customHeight="1" x14ac:dyDescent="0.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</row>
    <row r="334" spans="1:17" ht="14.25" customHeight="1" x14ac:dyDescent="0.3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</row>
    <row r="335" spans="1:17" ht="14.25" customHeight="1" x14ac:dyDescent="0.3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</row>
    <row r="336" spans="1:17" ht="14.25" customHeight="1" x14ac:dyDescent="0.3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</row>
    <row r="337" spans="1:17" ht="14.25" customHeight="1" x14ac:dyDescent="0.3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</row>
    <row r="338" spans="1:17" ht="14.25" customHeight="1" x14ac:dyDescent="0.3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</row>
    <row r="339" spans="1:17" ht="14.25" customHeight="1" x14ac:dyDescent="0.3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</row>
    <row r="340" spans="1:17" ht="14.25" customHeight="1" x14ac:dyDescent="0.3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</row>
    <row r="341" spans="1:17" ht="14.25" customHeight="1" x14ac:dyDescent="0.3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</row>
    <row r="342" spans="1:17" ht="14.25" customHeight="1" x14ac:dyDescent="0.3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</row>
    <row r="343" spans="1:17" ht="14.25" customHeight="1" x14ac:dyDescent="0.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</row>
    <row r="344" spans="1:17" ht="14.25" customHeight="1" x14ac:dyDescent="0.3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</row>
    <row r="345" spans="1:17" ht="14.25" customHeight="1" x14ac:dyDescent="0.3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</row>
    <row r="346" spans="1:17" ht="14.25" customHeight="1" x14ac:dyDescent="0.3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</row>
    <row r="347" spans="1:17" ht="14.25" customHeight="1" x14ac:dyDescent="0.3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</row>
    <row r="348" spans="1:17" ht="14.25" customHeight="1" x14ac:dyDescent="0.3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</row>
    <row r="349" spans="1:17" ht="14.25" customHeight="1" x14ac:dyDescent="0.3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</row>
    <row r="350" spans="1:17" ht="14.25" customHeight="1" x14ac:dyDescent="0.3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</row>
    <row r="351" spans="1:17" ht="14.25" customHeight="1" x14ac:dyDescent="0.3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</row>
    <row r="352" spans="1:17" ht="14.25" customHeight="1" x14ac:dyDescent="0.3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</row>
    <row r="353" spans="1:17" ht="14.25" customHeight="1" x14ac:dyDescent="0.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</row>
    <row r="354" spans="1:17" ht="14.25" customHeight="1" x14ac:dyDescent="0.3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</row>
    <row r="355" spans="1:17" ht="14.25" customHeight="1" x14ac:dyDescent="0.3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</row>
    <row r="356" spans="1:17" ht="14.25" customHeight="1" x14ac:dyDescent="0.3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</row>
    <row r="357" spans="1:17" ht="14.25" customHeight="1" x14ac:dyDescent="0.3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</row>
    <row r="358" spans="1:17" ht="14.25" customHeight="1" x14ac:dyDescent="0.3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</row>
    <row r="359" spans="1:17" ht="14.25" customHeight="1" x14ac:dyDescent="0.3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</row>
    <row r="360" spans="1:17" ht="14.25" customHeight="1" x14ac:dyDescent="0.3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</row>
    <row r="361" spans="1:17" ht="14.25" customHeight="1" x14ac:dyDescent="0.3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</row>
    <row r="362" spans="1:17" ht="14.25" customHeight="1" x14ac:dyDescent="0.3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</row>
    <row r="363" spans="1:17" ht="14.25" customHeight="1" x14ac:dyDescent="0.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</row>
    <row r="364" spans="1:17" ht="14.25" customHeight="1" x14ac:dyDescent="0.3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</row>
    <row r="365" spans="1:17" ht="14.25" customHeight="1" x14ac:dyDescent="0.3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</row>
    <row r="366" spans="1:17" ht="14.25" customHeight="1" x14ac:dyDescent="0.3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</row>
    <row r="367" spans="1:17" ht="14.25" customHeight="1" x14ac:dyDescent="0.3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</row>
    <row r="368" spans="1:17" ht="14.25" customHeight="1" x14ac:dyDescent="0.3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</row>
    <row r="369" spans="1:17" ht="14.25" customHeight="1" x14ac:dyDescent="0.3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</row>
    <row r="370" spans="1:17" ht="14.25" customHeight="1" x14ac:dyDescent="0.3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</row>
    <row r="371" spans="1:17" ht="14.25" customHeight="1" x14ac:dyDescent="0.3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</row>
    <row r="372" spans="1:17" ht="14.25" customHeight="1" x14ac:dyDescent="0.3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</row>
    <row r="373" spans="1:17" ht="14.25" customHeight="1" x14ac:dyDescent="0.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</row>
    <row r="374" spans="1:17" ht="14.25" customHeight="1" x14ac:dyDescent="0.3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</row>
    <row r="375" spans="1:17" ht="14.25" customHeight="1" x14ac:dyDescent="0.3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</row>
    <row r="376" spans="1:17" ht="14.25" customHeight="1" x14ac:dyDescent="0.3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</row>
    <row r="377" spans="1:17" ht="14.25" customHeight="1" x14ac:dyDescent="0.3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</row>
    <row r="378" spans="1:17" ht="14.25" customHeight="1" x14ac:dyDescent="0.3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</row>
    <row r="379" spans="1:17" ht="14.25" customHeight="1" x14ac:dyDescent="0.3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</row>
    <row r="380" spans="1:17" ht="14.25" customHeight="1" x14ac:dyDescent="0.3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</row>
    <row r="381" spans="1:17" ht="14.25" customHeight="1" x14ac:dyDescent="0.3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</row>
    <row r="382" spans="1:17" ht="14.25" customHeight="1" x14ac:dyDescent="0.3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</row>
    <row r="383" spans="1:17" ht="14.25" customHeight="1" x14ac:dyDescent="0.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</row>
    <row r="384" spans="1:17" ht="14.25" customHeight="1" x14ac:dyDescent="0.3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</row>
    <row r="385" spans="1:17" ht="14.25" customHeight="1" x14ac:dyDescent="0.3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</row>
    <row r="386" spans="1:17" ht="14.25" customHeight="1" x14ac:dyDescent="0.3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</row>
    <row r="387" spans="1:17" ht="14.25" customHeight="1" x14ac:dyDescent="0.3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</row>
    <row r="388" spans="1:17" ht="14.25" customHeight="1" x14ac:dyDescent="0.3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</row>
    <row r="389" spans="1:17" ht="14.25" customHeight="1" x14ac:dyDescent="0.3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</row>
    <row r="390" spans="1:17" ht="14.25" customHeight="1" x14ac:dyDescent="0.3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</row>
    <row r="391" spans="1:17" ht="14.25" customHeight="1" x14ac:dyDescent="0.3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</row>
    <row r="392" spans="1:17" ht="14.25" customHeight="1" x14ac:dyDescent="0.3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</row>
    <row r="393" spans="1:17" ht="14.25" customHeight="1" x14ac:dyDescent="0.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</row>
    <row r="394" spans="1:17" ht="14.25" customHeight="1" x14ac:dyDescent="0.3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</row>
    <row r="395" spans="1:17" ht="14.25" customHeight="1" x14ac:dyDescent="0.3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</row>
    <row r="396" spans="1:17" ht="14.25" customHeight="1" x14ac:dyDescent="0.3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</row>
    <row r="397" spans="1:17" ht="14.25" customHeight="1" x14ac:dyDescent="0.3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</row>
    <row r="398" spans="1:17" ht="14.25" customHeight="1" x14ac:dyDescent="0.3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</row>
    <row r="399" spans="1:17" ht="14.25" customHeight="1" x14ac:dyDescent="0.3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</row>
    <row r="400" spans="1:17" ht="14.25" customHeight="1" x14ac:dyDescent="0.3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</row>
    <row r="401" spans="1:17" ht="14.25" customHeight="1" x14ac:dyDescent="0.3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</row>
    <row r="402" spans="1:17" ht="14.25" customHeight="1" x14ac:dyDescent="0.3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</row>
    <row r="403" spans="1:17" ht="14.25" customHeight="1" x14ac:dyDescent="0.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</row>
    <row r="404" spans="1:17" ht="14.25" customHeight="1" x14ac:dyDescent="0.3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</row>
    <row r="405" spans="1:17" ht="14.25" customHeight="1" x14ac:dyDescent="0.3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</row>
    <row r="406" spans="1:17" ht="14.25" customHeight="1" x14ac:dyDescent="0.3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</row>
    <row r="407" spans="1:17" ht="14.25" customHeight="1" x14ac:dyDescent="0.3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</row>
    <row r="408" spans="1:17" ht="14.25" customHeight="1" x14ac:dyDescent="0.3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</row>
    <row r="409" spans="1:17" ht="14.25" customHeight="1" x14ac:dyDescent="0.3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</row>
    <row r="410" spans="1:17" ht="14.25" customHeight="1" x14ac:dyDescent="0.3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</row>
    <row r="411" spans="1:17" ht="14.25" customHeight="1" x14ac:dyDescent="0.3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</row>
    <row r="412" spans="1:17" ht="14.25" customHeight="1" x14ac:dyDescent="0.3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</row>
    <row r="413" spans="1:17" ht="14.25" customHeight="1" x14ac:dyDescent="0.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</row>
    <row r="414" spans="1:17" ht="14.25" customHeight="1" x14ac:dyDescent="0.3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</row>
    <row r="415" spans="1:17" ht="14.25" customHeight="1" x14ac:dyDescent="0.3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</row>
    <row r="416" spans="1:17" ht="14.25" customHeight="1" x14ac:dyDescent="0.3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</row>
    <row r="417" spans="1:17" ht="14.25" customHeight="1" x14ac:dyDescent="0.3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</row>
    <row r="418" spans="1:17" ht="14.25" customHeight="1" x14ac:dyDescent="0.3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</row>
    <row r="419" spans="1:17" ht="14.25" customHeight="1" x14ac:dyDescent="0.3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</row>
    <row r="420" spans="1:17" ht="14.25" customHeight="1" x14ac:dyDescent="0.3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</row>
    <row r="421" spans="1:17" ht="14.25" customHeight="1" x14ac:dyDescent="0.3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</row>
    <row r="422" spans="1:17" ht="14.25" customHeight="1" x14ac:dyDescent="0.3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</row>
    <row r="423" spans="1:17" ht="14.25" customHeight="1" x14ac:dyDescent="0.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</row>
    <row r="424" spans="1:17" ht="14.25" customHeight="1" x14ac:dyDescent="0.3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</row>
    <row r="425" spans="1:17" ht="14.25" customHeight="1" x14ac:dyDescent="0.3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</row>
    <row r="426" spans="1:17" ht="14.25" customHeight="1" x14ac:dyDescent="0.3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</row>
    <row r="427" spans="1:17" ht="14.25" customHeight="1" x14ac:dyDescent="0.3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</row>
    <row r="428" spans="1:17" ht="14.25" customHeight="1" x14ac:dyDescent="0.3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</row>
    <row r="429" spans="1:17" ht="14.25" customHeight="1" x14ac:dyDescent="0.3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</row>
    <row r="430" spans="1:17" ht="14.25" customHeight="1" x14ac:dyDescent="0.3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</row>
    <row r="431" spans="1:17" ht="14.25" customHeight="1" x14ac:dyDescent="0.3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</row>
    <row r="432" spans="1:17" ht="14.25" customHeight="1" x14ac:dyDescent="0.3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</row>
    <row r="433" spans="1:17" ht="14.25" customHeight="1" x14ac:dyDescent="0.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</row>
    <row r="434" spans="1:17" ht="14.25" customHeight="1" x14ac:dyDescent="0.3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</row>
    <row r="435" spans="1:17" ht="14.25" customHeight="1" x14ac:dyDescent="0.3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</row>
    <row r="436" spans="1:17" ht="14.25" customHeight="1" x14ac:dyDescent="0.3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</row>
    <row r="437" spans="1:17" ht="14.25" customHeight="1" x14ac:dyDescent="0.3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</row>
    <row r="438" spans="1:17" ht="14.25" customHeight="1" x14ac:dyDescent="0.3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</row>
    <row r="439" spans="1:17" ht="14.25" customHeight="1" x14ac:dyDescent="0.3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</row>
    <row r="440" spans="1:17" ht="14.25" customHeight="1" x14ac:dyDescent="0.3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</row>
    <row r="441" spans="1:17" ht="14.25" customHeight="1" x14ac:dyDescent="0.3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</row>
    <row r="442" spans="1:17" ht="14.25" customHeight="1" x14ac:dyDescent="0.3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</row>
    <row r="443" spans="1:17" ht="14.25" customHeight="1" x14ac:dyDescent="0.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</row>
    <row r="444" spans="1:17" ht="14.25" customHeight="1" x14ac:dyDescent="0.3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</row>
    <row r="445" spans="1:17" ht="14.25" customHeight="1" x14ac:dyDescent="0.3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</row>
    <row r="446" spans="1:17" ht="14.25" customHeight="1" x14ac:dyDescent="0.3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</row>
    <row r="447" spans="1:17" ht="14.25" customHeight="1" x14ac:dyDescent="0.3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</row>
    <row r="448" spans="1:17" ht="14.25" customHeight="1" x14ac:dyDescent="0.3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</row>
    <row r="449" spans="1:17" ht="14.25" customHeight="1" x14ac:dyDescent="0.3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</row>
    <row r="450" spans="1:17" ht="14.25" customHeight="1" x14ac:dyDescent="0.3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</row>
    <row r="451" spans="1:17" ht="14.25" customHeight="1" x14ac:dyDescent="0.3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</row>
    <row r="452" spans="1:17" ht="14.25" customHeight="1" x14ac:dyDescent="0.3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</row>
    <row r="453" spans="1:17" ht="14.25" customHeight="1" x14ac:dyDescent="0.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</row>
    <row r="454" spans="1:17" ht="14.25" customHeight="1" x14ac:dyDescent="0.3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</row>
    <row r="455" spans="1:17" ht="14.25" customHeight="1" x14ac:dyDescent="0.3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</row>
    <row r="456" spans="1:17" ht="14.25" customHeight="1" x14ac:dyDescent="0.3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</row>
    <row r="457" spans="1:17" ht="14.25" customHeight="1" x14ac:dyDescent="0.3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</row>
    <row r="458" spans="1:17" ht="14.25" customHeight="1" x14ac:dyDescent="0.3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</row>
    <row r="459" spans="1:17" ht="14.25" customHeight="1" x14ac:dyDescent="0.3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</row>
    <row r="460" spans="1:17" ht="14.25" customHeight="1" x14ac:dyDescent="0.3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</row>
    <row r="461" spans="1:17" ht="14.25" customHeight="1" x14ac:dyDescent="0.3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</row>
    <row r="462" spans="1:17" ht="14.25" customHeight="1" x14ac:dyDescent="0.3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</row>
    <row r="463" spans="1:17" ht="14.25" customHeight="1" x14ac:dyDescent="0.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</row>
    <row r="464" spans="1:17" ht="14.25" customHeight="1" x14ac:dyDescent="0.3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</row>
    <row r="465" spans="1:17" ht="14.25" customHeight="1" x14ac:dyDescent="0.3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</row>
    <row r="466" spans="1:17" ht="14.25" customHeight="1" x14ac:dyDescent="0.3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</row>
    <row r="467" spans="1:17" ht="14.25" customHeight="1" x14ac:dyDescent="0.3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</row>
    <row r="468" spans="1:17" ht="14.25" customHeight="1" x14ac:dyDescent="0.3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</row>
    <row r="469" spans="1:17" ht="14.25" customHeight="1" x14ac:dyDescent="0.3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</row>
    <row r="470" spans="1:17" ht="14.25" customHeight="1" x14ac:dyDescent="0.3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</row>
    <row r="471" spans="1:17" ht="14.25" customHeight="1" x14ac:dyDescent="0.3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</row>
    <row r="472" spans="1:17" ht="14.25" customHeight="1" x14ac:dyDescent="0.3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</row>
    <row r="473" spans="1:17" ht="14.25" customHeight="1" x14ac:dyDescent="0.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</row>
    <row r="474" spans="1:17" ht="14.25" customHeight="1" x14ac:dyDescent="0.3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</row>
    <row r="475" spans="1:17" ht="14.25" customHeight="1" x14ac:dyDescent="0.3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</row>
    <row r="476" spans="1:17" ht="14.25" customHeight="1" x14ac:dyDescent="0.3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</row>
    <row r="477" spans="1:17" ht="14.25" customHeight="1" x14ac:dyDescent="0.3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</row>
    <row r="478" spans="1:17" ht="14.25" customHeight="1" x14ac:dyDescent="0.3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</row>
    <row r="479" spans="1:17" ht="14.25" customHeight="1" x14ac:dyDescent="0.3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</row>
    <row r="480" spans="1:17" ht="14.25" customHeight="1" x14ac:dyDescent="0.3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</row>
    <row r="481" spans="1:17" ht="14.25" customHeight="1" x14ac:dyDescent="0.3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</row>
    <row r="482" spans="1:17" ht="14.25" customHeight="1" x14ac:dyDescent="0.3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</row>
    <row r="483" spans="1:17" ht="14.25" customHeight="1" x14ac:dyDescent="0.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</row>
    <row r="484" spans="1:17" ht="14.25" customHeight="1" x14ac:dyDescent="0.3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</row>
    <row r="485" spans="1:17" ht="14.25" customHeight="1" x14ac:dyDescent="0.3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</row>
    <row r="486" spans="1:17" ht="14.25" customHeight="1" x14ac:dyDescent="0.3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</row>
    <row r="487" spans="1:17" ht="14.25" customHeight="1" x14ac:dyDescent="0.3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</row>
    <row r="488" spans="1:17" ht="14.25" customHeight="1" x14ac:dyDescent="0.3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</row>
    <row r="489" spans="1:17" ht="14.25" customHeight="1" x14ac:dyDescent="0.3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</row>
    <row r="490" spans="1:17" ht="14.25" customHeight="1" x14ac:dyDescent="0.3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</row>
    <row r="491" spans="1:17" ht="14.25" customHeight="1" x14ac:dyDescent="0.3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</row>
    <row r="492" spans="1:17" ht="14.25" customHeight="1" x14ac:dyDescent="0.3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</row>
    <row r="493" spans="1:17" ht="14.25" customHeight="1" x14ac:dyDescent="0.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</row>
    <row r="494" spans="1:17" ht="14.25" customHeight="1" x14ac:dyDescent="0.3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</row>
    <row r="495" spans="1:17" ht="14.25" customHeight="1" x14ac:dyDescent="0.3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</row>
    <row r="496" spans="1:17" ht="14.25" customHeight="1" x14ac:dyDescent="0.3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</row>
    <row r="497" spans="1:17" ht="14.25" customHeight="1" x14ac:dyDescent="0.3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</row>
    <row r="498" spans="1:17" ht="14.25" customHeight="1" x14ac:dyDescent="0.3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</row>
    <row r="499" spans="1:17" ht="14.25" customHeight="1" x14ac:dyDescent="0.3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</row>
    <row r="500" spans="1:17" ht="14.25" customHeight="1" x14ac:dyDescent="0.3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</row>
    <row r="501" spans="1:17" ht="14.25" customHeight="1" x14ac:dyDescent="0.3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</row>
    <row r="502" spans="1:17" ht="14.25" customHeight="1" x14ac:dyDescent="0.3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</row>
    <row r="503" spans="1:17" ht="14.25" customHeight="1" x14ac:dyDescent="0.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</row>
    <row r="504" spans="1:17" ht="14.25" customHeight="1" x14ac:dyDescent="0.3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</row>
    <row r="505" spans="1:17" ht="14.25" customHeight="1" x14ac:dyDescent="0.3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</row>
    <row r="506" spans="1:17" ht="14.25" customHeight="1" x14ac:dyDescent="0.3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</row>
    <row r="507" spans="1:17" ht="14.25" customHeight="1" x14ac:dyDescent="0.3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</row>
    <row r="508" spans="1:17" ht="14.25" customHeight="1" x14ac:dyDescent="0.3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</row>
    <row r="509" spans="1:17" ht="14.25" customHeight="1" x14ac:dyDescent="0.3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</row>
    <row r="510" spans="1:17" ht="14.25" customHeight="1" x14ac:dyDescent="0.3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</row>
    <row r="511" spans="1:17" ht="14.25" customHeight="1" x14ac:dyDescent="0.3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</row>
    <row r="512" spans="1:17" ht="14.25" customHeight="1" x14ac:dyDescent="0.3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</row>
    <row r="513" spans="1:17" ht="14.25" customHeight="1" x14ac:dyDescent="0.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</row>
    <row r="514" spans="1:17" ht="14.25" customHeight="1" x14ac:dyDescent="0.3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</row>
    <row r="515" spans="1:17" ht="14.25" customHeight="1" x14ac:dyDescent="0.3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</row>
    <row r="516" spans="1:17" ht="14.25" customHeight="1" x14ac:dyDescent="0.3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</row>
    <row r="517" spans="1:17" ht="14.25" customHeight="1" x14ac:dyDescent="0.3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</row>
    <row r="518" spans="1:17" ht="14.25" customHeight="1" x14ac:dyDescent="0.3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</row>
    <row r="519" spans="1:17" ht="14.25" customHeight="1" x14ac:dyDescent="0.3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</row>
    <row r="520" spans="1:17" ht="14.25" customHeight="1" x14ac:dyDescent="0.3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</row>
    <row r="521" spans="1:17" ht="14.25" customHeight="1" x14ac:dyDescent="0.3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</row>
    <row r="522" spans="1:17" ht="14.25" customHeight="1" x14ac:dyDescent="0.3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</row>
    <row r="523" spans="1:17" ht="14.25" customHeight="1" x14ac:dyDescent="0.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</row>
    <row r="524" spans="1:17" ht="14.25" customHeight="1" x14ac:dyDescent="0.3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</row>
    <row r="525" spans="1:17" ht="14.25" customHeight="1" x14ac:dyDescent="0.3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</row>
    <row r="526" spans="1:17" ht="14.25" customHeight="1" x14ac:dyDescent="0.3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</row>
    <row r="527" spans="1:17" ht="14.25" customHeight="1" x14ac:dyDescent="0.3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</row>
    <row r="528" spans="1:17" ht="14.25" customHeight="1" x14ac:dyDescent="0.3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</row>
    <row r="529" spans="1:17" ht="14.25" customHeight="1" x14ac:dyDescent="0.3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</row>
    <row r="530" spans="1:17" ht="14.25" customHeight="1" x14ac:dyDescent="0.3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</row>
    <row r="531" spans="1:17" ht="14.25" customHeight="1" x14ac:dyDescent="0.3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</row>
    <row r="532" spans="1:17" ht="14.25" customHeight="1" x14ac:dyDescent="0.3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</row>
    <row r="533" spans="1:17" ht="14.25" customHeight="1" x14ac:dyDescent="0.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</row>
    <row r="534" spans="1:17" ht="14.25" customHeight="1" x14ac:dyDescent="0.3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</row>
    <row r="535" spans="1:17" ht="14.25" customHeight="1" x14ac:dyDescent="0.3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</row>
    <row r="536" spans="1:17" ht="14.25" customHeight="1" x14ac:dyDescent="0.3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</row>
    <row r="537" spans="1:17" ht="14.25" customHeight="1" x14ac:dyDescent="0.3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</row>
    <row r="538" spans="1:17" ht="14.25" customHeight="1" x14ac:dyDescent="0.3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</row>
    <row r="539" spans="1:17" ht="14.25" customHeight="1" x14ac:dyDescent="0.3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</row>
    <row r="540" spans="1:17" ht="14.25" customHeight="1" x14ac:dyDescent="0.3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</row>
    <row r="541" spans="1:17" ht="14.25" customHeight="1" x14ac:dyDescent="0.3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</row>
    <row r="542" spans="1:17" ht="14.25" customHeight="1" x14ac:dyDescent="0.3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</row>
    <row r="543" spans="1:17" ht="14.25" customHeight="1" x14ac:dyDescent="0.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</row>
    <row r="544" spans="1:17" ht="14.25" customHeight="1" x14ac:dyDescent="0.3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</row>
    <row r="545" spans="1:17" ht="14.25" customHeight="1" x14ac:dyDescent="0.3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</row>
    <row r="546" spans="1:17" ht="14.25" customHeight="1" x14ac:dyDescent="0.3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</row>
    <row r="547" spans="1:17" ht="14.25" customHeight="1" x14ac:dyDescent="0.3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</row>
    <row r="548" spans="1:17" ht="14.25" customHeight="1" x14ac:dyDescent="0.3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</row>
    <row r="549" spans="1:17" ht="14.25" customHeight="1" x14ac:dyDescent="0.3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</row>
    <row r="550" spans="1:17" ht="14.25" customHeight="1" x14ac:dyDescent="0.3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</row>
    <row r="551" spans="1:17" ht="14.25" customHeight="1" x14ac:dyDescent="0.3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</row>
    <row r="552" spans="1:17" ht="14.25" customHeight="1" x14ac:dyDescent="0.3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</row>
    <row r="553" spans="1:17" ht="14.25" customHeight="1" x14ac:dyDescent="0.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</row>
    <row r="554" spans="1:17" ht="14.25" customHeight="1" x14ac:dyDescent="0.3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</row>
    <row r="555" spans="1:17" ht="14.25" customHeight="1" x14ac:dyDescent="0.3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</row>
    <row r="556" spans="1:17" ht="14.25" customHeight="1" x14ac:dyDescent="0.3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</row>
    <row r="557" spans="1:17" ht="14.25" customHeight="1" x14ac:dyDescent="0.3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</row>
    <row r="558" spans="1:17" ht="14.25" customHeight="1" x14ac:dyDescent="0.3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</row>
    <row r="559" spans="1:17" ht="14.25" customHeight="1" x14ac:dyDescent="0.3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</row>
    <row r="560" spans="1:17" ht="14.25" customHeight="1" x14ac:dyDescent="0.3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</row>
    <row r="561" spans="1:17" ht="14.25" customHeight="1" x14ac:dyDescent="0.3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</row>
    <row r="562" spans="1:17" ht="14.25" customHeight="1" x14ac:dyDescent="0.3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</row>
    <row r="563" spans="1:17" ht="14.25" customHeight="1" x14ac:dyDescent="0.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</row>
    <row r="564" spans="1:17" ht="14.25" customHeight="1" x14ac:dyDescent="0.3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</row>
    <row r="565" spans="1:17" ht="14.25" customHeight="1" x14ac:dyDescent="0.3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</row>
    <row r="566" spans="1:17" ht="14.25" customHeight="1" x14ac:dyDescent="0.3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</row>
    <row r="567" spans="1:17" ht="14.25" customHeight="1" x14ac:dyDescent="0.3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</row>
    <row r="568" spans="1:17" ht="14.25" customHeight="1" x14ac:dyDescent="0.3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</row>
    <row r="569" spans="1:17" ht="14.25" customHeight="1" x14ac:dyDescent="0.3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</row>
    <row r="570" spans="1:17" ht="14.25" customHeight="1" x14ac:dyDescent="0.3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</row>
    <row r="571" spans="1:17" ht="14.25" customHeight="1" x14ac:dyDescent="0.3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</row>
    <row r="572" spans="1:17" ht="14.25" customHeight="1" x14ac:dyDescent="0.3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</row>
    <row r="573" spans="1:17" ht="14.25" customHeight="1" x14ac:dyDescent="0.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</row>
    <row r="574" spans="1:17" ht="14.25" customHeight="1" x14ac:dyDescent="0.3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</row>
    <row r="575" spans="1:17" ht="14.25" customHeight="1" x14ac:dyDescent="0.3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</row>
    <row r="576" spans="1:17" ht="14.25" customHeight="1" x14ac:dyDescent="0.3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</row>
    <row r="577" spans="1:17" ht="14.25" customHeight="1" x14ac:dyDescent="0.3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</row>
    <row r="578" spans="1:17" ht="14.25" customHeight="1" x14ac:dyDescent="0.3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</row>
    <row r="579" spans="1:17" ht="14.25" customHeight="1" x14ac:dyDescent="0.3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</row>
    <row r="580" spans="1:17" ht="14.25" customHeight="1" x14ac:dyDescent="0.3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</row>
    <row r="581" spans="1:17" ht="14.25" customHeight="1" x14ac:dyDescent="0.3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</row>
    <row r="582" spans="1:17" ht="14.25" customHeight="1" x14ac:dyDescent="0.3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</row>
    <row r="583" spans="1:17" ht="14.25" customHeight="1" x14ac:dyDescent="0.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</row>
    <row r="584" spans="1:17" ht="14.25" customHeight="1" x14ac:dyDescent="0.3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</row>
    <row r="585" spans="1:17" ht="14.25" customHeight="1" x14ac:dyDescent="0.3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</row>
    <row r="586" spans="1:17" ht="14.25" customHeight="1" x14ac:dyDescent="0.3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</row>
    <row r="587" spans="1:17" ht="14.25" customHeight="1" x14ac:dyDescent="0.3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</row>
    <row r="588" spans="1:17" ht="14.25" customHeight="1" x14ac:dyDescent="0.3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</row>
    <row r="589" spans="1:17" ht="14.25" customHeight="1" x14ac:dyDescent="0.3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</row>
    <row r="590" spans="1:17" ht="14.25" customHeight="1" x14ac:dyDescent="0.3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</row>
    <row r="591" spans="1:17" ht="14.25" customHeight="1" x14ac:dyDescent="0.3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</row>
    <row r="592" spans="1:17" ht="14.25" customHeight="1" x14ac:dyDescent="0.3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</row>
    <row r="593" spans="1:17" ht="14.25" customHeight="1" x14ac:dyDescent="0.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</row>
    <row r="594" spans="1:17" ht="14.25" customHeight="1" x14ac:dyDescent="0.3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</row>
    <row r="595" spans="1:17" ht="14.25" customHeight="1" x14ac:dyDescent="0.3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</row>
    <row r="596" spans="1:17" ht="14.25" customHeight="1" x14ac:dyDescent="0.3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</row>
    <row r="597" spans="1:17" ht="14.25" customHeight="1" x14ac:dyDescent="0.3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</row>
    <row r="598" spans="1:17" ht="14.25" customHeight="1" x14ac:dyDescent="0.3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</row>
    <row r="599" spans="1:17" ht="14.25" customHeight="1" x14ac:dyDescent="0.3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</row>
    <row r="600" spans="1:17" ht="14.25" customHeight="1" x14ac:dyDescent="0.3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</row>
    <row r="601" spans="1:17" ht="14.25" customHeight="1" x14ac:dyDescent="0.3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</row>
    <row r="602" spans="1:17" ht="14.25" customHeight="1" x14ac:dyDescent="0.3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</row>
    <row r="603" spans="1:17" ht="14.25" customHeight="1" x14ac:dyDescent="0.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</row>
    <row r="604" spans="1:17" ht="14.25" customHeight="1" x14ac:dyDescent="0.3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</row>
    <row r="605" spans="1:17" ht="14.25" customHeight="1" x14ac:dyDescent="0.3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</row>
    <row r="606" spans="1:17" ht="14.25" customHeight="1" x14ac:dyDescent="0.3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</row>
    <row r="607" spans="1:17" ht="14.25" customHeight="1" x14ac:dyDescent="0.3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</row>
    <row r="608" spans="1:17" ht="14.25" customHeight="1" x14ac:dyDescent="0.3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</row>
    <row r="609" spans="1:17" ht="14.25" customHeight="1" x14ac:dyDescent="0.3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</row>
    <row r="610" spans="1:17" ht="14.25" customHeight="1" x14ac:dyDescent="0.3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</row>
    <row r="611" spans="1:17" ht="14.25" customHeight="1" x14ac:dyDescent="0.3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</row>
    <row r="612" spans="1:17" ht="14.25" customHeight="1" x14ac:dyDescent="0.3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</row>
    <row r="613" spans="1:17" ht="14.25" customHeight="1" x14ac:dyDescent="0.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</row>
    <row r="614" spans="1:17" ht="14.25" customHeight="1" x14ac:dyDescent="0.3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</row>
    <row r="615" spans="1:17" ht="14.25" customHeight="1" x14ac:dyDescent="0.3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</row>
    <row r="616" spans="1:17" ht="14.25" customHeight="1" x14ac:dyDescent="0.3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</row>
    <row r="617" spans="1:17" ht="14.25" customHeight="1" x14ac:dyDescent="0.3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</row>
    <row r="618" spans="1:17" ht="14.25" customHeight="1" x14ac:dyDescent="0.3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</row>
    <row r="619" spans="1:17" ht="14.25" customHeight="1" x14ac:dyDescent="0.3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</row>
    <row r="620" spans="1:17" ht="14.25" customHeight="1" x14ac:dyDescent="0.3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</row>
    <row r="621" spans="1:17" ht="14.25" customHeight="1" x14ac:dyDescent="0.3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</row>
    <row r="622" spans="1:17" ht="14.25" customHeight="1" x14ac:dyDescent="0.3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</row>
    <row r="623" spans="1:17" ht="14.25" customHeight="1" x14ac:dyDescent="0.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</row>
    <row r="624" spans="1:17" ht="14.25" customHeight="1" x14ac:dyDescent="0.3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</row>
    <row r="625" spans="1:17" ht="14.25" customHeight="1" x14ac:dyDescent="0.3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</row>
    <row r="626" spans="1:17" ht="14.25" customHeight="1" x14ac:dyDescent="0.3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</row>
    <row r="627" spans="1:17" ht="14.25" customHeight="1" x14ac:dyDescent="0.3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</row>
    <row r="628" spans="1:17" ht="14.25" customHeight="1" x14ac:dyDescent="0.3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</row>
    <row r="629" spans="1:17" ht="14.25" customHeight="1" x14ac:dyDescent="0.3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</row>
    <row r="630" spans="1:17" ht="14.25" customHeight="1" x14ac:dyDescent="0.3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</row>
    <row r="631" spans="1:17" ht="14.25" customHeight="1" x14ac:dyDescent="0.3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</row>
    <row r="632" spans="1:17" ht="14.25" customHeight="1" x14ac:dyDescent="0.3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</row>
    <row r="633" spans="1:17" ht="14.25" customHeight="1" x14ac:dyDescent="0.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</row>
    <row r="634" spans="1:17" ht="14.25" customHeight="1" x14ac:dyDescent="0.3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</row>
    <row r="635" spans="1:17" ht="14.25" customHeight="1" x14ac:dyDescent="0.3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</row>
    <row r="636" spans="1:17" ht="14.25" customHeight="1" x14ac:dyDescent="0.3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</row>
    <row r="637" spans="1:17" ht="14.25" customHeight="1" x14ac:dyDescent="0.3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</row>
    <row r="638" spans="1:17" ht="14.25" customHeight="1" x14ac:dyDescent="0.3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</row>
    <row r="639" spans="1:17" ht="14.25" customHeight="1" x14ac:dyDescent="0.3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</row>
    <row r="640" spans="1:17" ht="14.25" customHeight="1" x14ac:dyDescent="0.3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</row>
    <row r="641" spans="1:17" ht="14.25" customHeight="1" x14ac:dyDescent="0.3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</row>
    <row r="642" spans="1:17" ht="14.25" customHeight="1" x14ac:dyDescent="0.3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</row>
    <row r="643" spans="1:17" ht="14.25" customHeight="1" x14ac:dyDescent="0.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</row>
    <row r="644" spans="1:17" ht="14.25" customHeight="1" x14ac:dyDescent="0.3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</row>
    <row r="645" spans="1:17" ht="14.25" customHeight="1" x14ac:dyDescent="0.3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</row>
    <row r="646" spans="1:17" ht="14.25" customHeight="1" x14ac:dyDescent="0.3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</row>
    <row r="647" spans="1:17" ht="14.25" customHeight="1" x14ac:dyDescent="0.3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</row>
    <row r="648" spans="1:17" ht="14.25" customHeight="1" x14ac:dyDescent="0.3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</row>
    <row r="649" spans="1:17" ht="14.25" customHeight="1" x14ac:dyDescent="0.3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</row>
    <row r="650" spans="1:17" ht="14.25" customHeight="1" x14ac:dyDescent="0.3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</row>
    <row r="651" spans="1:17" ht="14.25" customHeight="1" x14ac:dyDescent="0.3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</row>
    <row r="652" spans="1:17" ht="14.25" customHeight="1" x14ac:dyDescent="0.3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</row>
    <row r="653" spans="1:17" ht="14.25" customHeight="1" x14ac:dyDescent="0.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</row>
    <row r="654" spans="1:17" ht="14.25" customHeight="1" x14ac:dyDescent="0.3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</row>
    <row r="655" spans="1:17" ht="14.25" customHeight="1" x14ac:dyDescent="0.3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</row>
    <row r="656" spans="1:17" ht="14.25" customHeight="1" x14ac:dyDescent="0.3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</row>
    <row r="657" spans="1:17" ht="14.25" customHeight="1" x14ac:dyDescent="0.3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</row>
    <row r="658" spans="1:17" ht="14.25" customHeight="1" x14ac:dyDescent="0.3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</row>
    <row r="659" spans="1:17" ht="14.25" customHeight="1" x14ac:dyDescent="0.3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</row>
    <row r="660" spans="1:17" ht="14.25" customHeight="1" x14ac:dyDescent="0.3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</row>
    <row r="661" spans="1:17" ht="14.25" customHeight="1" x14ac:dyDescent="0.3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</row>
    <row r="662" spans="1:17" ht="14.25" customHeight="1" x14ac:dyDescent="0.3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</row>
    <row r="663" spans="1:17" ht="14.25" customHeight="1" x14ac:dyDescent="0.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</row>
    <row r="664" spans="1:17" ht="14.25" customHeight="1" x14ac:dyDescent="0.3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</row>
    <row r="665" spans="1:17" ht="14.25" customHeight="1" x14ac:dyDescent="0.3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</row>
    <row r="666" spans="1:17" ht="14.25" customHeight="1" x14ac:dyDescent="0.3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</row>
    <row r="667" spans="1:17" ht="14.25" customHeight="1" x14ac:dyDescent="0.3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</row>
    <row r="668" spans="1:17" ht="14.25" customHeight="1" x14ac:dyDescent="0.3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</row>
    <row r="669" spans="1:17" ht="14.25" customHeight="1" x14ac:dyDescent="0.3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</row>
    <row r="670" spans="1:17" ht="14.25" customHeight="1" x14ac:dyDescent="0.3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</row>
    <row r="671" spans="1:17" ht="14.25" customHeight="1" x14ac:dyDescent="0.3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</row>
    <row r="672" spans="1:17" ht="14.25" customHeight="1" x14ac:dyDescent="0.3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</row>
    <row r="673" spans="1:17" ht="14.25" customHeight="1" x14ac:dyDescent="0.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</row>
    <row r="674" spans="1:17" ht="14.25" customHeight="1" x14ac:dyDescent="0.3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</row>
    <row r="675" spans="1:17" ht="14.25" customHeight="1" x14ac:dyDescent="0.3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</row>
    <row r="676" spans="1:17" ht="14.25" customHeight="1" x14ac:dyDescent="0.3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</row>
    <row r="677" spans="1:17" ht="14.25" customHeight="1" x14ac:dyDescent="0.3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</row>
    <row r="678" spans="1:17" ht="14.25" customHeight="1" x14ac:dyDescent="0.3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</row>
    <row r="679" spans="1:17" ht="14.25" customHeight="1" x14ac:dyDescent="0.3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</row>
    <row r="680" spans="1:17" ht="14.25" customHeight="1" x14ac:dyDescent="0.3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</row>
    <row r="681" spans="1:17" ht="14.25" customHeight="1" x14ac:dyDescent="0.3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</row>
    <row r="682" spans="1:17" ht="14.25" customHeight="1" x14ac:dyDescent="0.3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</row>
    <row r="683" spans="1:17" ht="14.25" customHeight="1" x14ac:dyDescent="0.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</row>
    <row r="684" spans="1:17" ht="14.25" customHeight="1" x14ac:dyDescent="0.3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</row>
    <row r="685" spans="1:17" ht="14.25" customHeight="1" x14ac:dyDescent="0.3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</row>
    <row r="686" spans="1:17" ht="14.25" customHeight="1" x14ac:dyDescent="0.3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</row>
    <row r="687" spans="1:17" ht="14.25" customHeight="1" x14ac:dyDescent="0.3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</row>
    <row r="688" spans="1:17" ht="14.25" customHeight="1" x14ac:dyDescent="0.3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</row>
    <row r="689" spans="1:17" ht="14.25" customHeight="1" x14ac:dyDescent="0.3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</row>
    <row r="690" spans="1:17" ht="14.25" customHeight="1" x14ac:dyDescent="0.3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</row>
    <row r="691" spans="1:17" ht="14.25" customHeight="1" x14ac:dyDescent="0.3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</row>
    <row r="692" spans="1:17" ht="14.25" customHeight="1" x14ac:dyDescent="0.3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</row>
    <row r="693" spans="1:17" ht="14.25" customHeight="1" x14ac:dyDescent="0.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</row>
    <row r="694" spans="1:17" ht="14.25" customHeight="1" x14ac:dyDescent="0.3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</row>
    <row r="695" spans="1:17" ht="14.25" customHeight="1" x14ac:dyDescent="0.3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</row>
    <row r="696" spans="1:17" ht="14.25" customHeight="1" x14ac:dyDescent="0.3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</row>
    <row r="697" spans="1:17" ht="14.25" customHeight="1" x14ac:dyDescent="0.3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</row>
    <row r="698" spans="1:17" ht="14.25" customHeight="1" x14ac:dyDescent="0.3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</row>
    <row r="699" spans="1:17" ht="14.25" customHeight="1" x14ac:dyDescent="0.3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</row>
    <row r="700" spans="1:17" ht="14.25" customHeight="1" x14ac:dyDescent="0.3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</row>
    <row r="701" spans="1:17" ht="14.25" customHeight="1" x14ac:dyDescent="0.3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</row>
    <row r="702" spans="1:17" ht="14.25" customHeight="1" x14ac:dyDescent="0.3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</row>
    <row r="703" spans="1:17" ht="14.25" customHeight="1" x14ac:dyDescent="0.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</row>
    <row r="704" spans="1:17" ht="14.25" customHeight="1" x14ac:dyDescent="0.3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</row>
    <row r="705" spans="1:17" ht="14.25" customHeight="1" x14ac:dyDescent="0.3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</row>
    <row r="706" spans="1:17" ht="14.25" customHeight="1" x14ac:dyDescent="0.3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</row>
    <row r="707" spans="1:17" ht="14.25" customHeight="1" x14ac:dyDescent="0.3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</row>
    <row r="708" spans="1:17" ht="14.25" customHeight="1" x14ac:dyDescent="0.3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</row>
    <row r="709" spans="1:17" ht="14.25" customHeight="1" x14ac:dyDescent="0.3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</row>
    <row r="710" spans="1:17" ht="14.25" customHeight="1" x14ac:dyDescent="0.3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</row>
    <row r="711" spans="1:17" ht="14.25" customHeight="1" x14ac:dyDescent="0.3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</row>
    <row r="712" spans="1:17" ht="14.25" customHeight="1" x14ac:dyDescent="0.3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</row>
    <row r="713" spans="1:17" ht="14.25" customHeight="1" x14ac:dyDescent="0.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</row>
    <row r="714" spans="1:17" ht="14.25" customHeight="1" x14ac:dyDescent="0.3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</row>
    <row r="715" spans="1:17" ht="14.25" customHeight="1" x14ac:dyDescent="0.3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</row>
    <row r="716" spans="1:17" ht="14.25" customHeight="1" x14ac:dyDescent="0.3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</row>
    <row r="717" spans="1:17" ht="14.25" customHeight="1" x14ac:dyDescent="0.3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</row>
    <row r="718" spans="1:17" ht="14.25" customHeight="1" x14ac:dyDescent="0.3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</row>
    <row r="719" spans="1:17" ht="14.25" customHeight="1" x14ac:dyDescent="0.3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</row>
    <row r="720" spans="1:17" ht="14.25" customHeight="1" x14ac:dyDescent="0.3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</row>
    <row r="721" spans="1:17" ht="14.25" customHeight="1" x14ac:dyDescent="0.3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</row>
    <row r="722" spans="1:17" ht="14.25" customHeight="1" x14ac:dyDescent="0.3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</row>
    <row r="723" spans="1:17" ht="14.25" customHeight="1" x14ac:dyDescent="0.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</row>
    <row r="724" spans="1:17" ht="14.25" customHeight="1" x14ac:dyDescent="0.3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</row>
    <row r="725" spans="1:17" ht="14.25" customHeight="1" x14ac:dyDescent="0.3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</row>
    <row r="726" spans="1:17" ht="14.25" customHeight="1" x14ac:dyDescent="0.3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</row>
    <row r="727" spans="1:17" ht="14.25" customHeight="1" x14ac:dyDescent="0.3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</row>
    <row r="728" spans="1:17" ht="14.25" customHeight="1" x14ac:dyDescent="0.3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</row>
    <row r="729" spans="1:17" ht="14.25" customHeight="1" x14ac:dyDescent="0.3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</row>
    <row r="730" spans="1:17" ht="14.25" customHeight="1" x14ac:dyDescent="0.3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</row>
    <row r="731" spans="1:17" ht="14.25" customHeight="1" x14ac:dyDescent="0.3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</row>
    <row r="732" spans="1:17" ht="14.25" customHeight="1" x14ac:dyDescent="0.3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</row>
    <row r="733" spans="1:17" ht="14.25" customHeight="1" x14ac:dyDescent="0.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</row>
    <row r="734" spans="1:17" ht="14.25" customHeight="1" x14ac:dyDescent="0.3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</row>
    <row r="735" spans="1:17" ht="14.25" customHeight="1" x14ac:dyDescent="0.3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</row>
    <row r="736" spans="1:17" ht="14.25" customHeight="1" x14ac:dyDescent="0.3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</row>
    <row r="737" spans="1:17" ht="14.25" customHeight="1" x14ac:dyDescent="0.3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</row>
    <row r="738" spans="1:17" ht="14.25" customHeight="1" x14ac:dyDescent="0.3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</row>
    <row r="739" spans="1:17" ht="14.25" customHeight="1" x14ac:dyDescent="0.3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</row>
    <row r="740" spans="1:17" ht="14.25" customHeight="1" x14ac:dyDescent="0.3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</row>
    <row r="741" spans="1:17" ht="14.25" customHeight="1" x14ac:dyDescent="0.3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</row>
    <row r="742" spans="1:17" ht="14.25" customHeight="1" x14ac:dyDescent="0.3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</row>
    <row r="743" spans="1:17" ht="14.25" customHeight="1" x14ac:dyDescent="0.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</row>
    <row r="744" spans="1:17" ht="14.25" customHeight="1" x14ac:dyDescent="0.3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</row>
    <row r="745" spans="1:17" ht="14.25" customHeight="1" x14ac:dyDescent="0.3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</row>
    <row r="746" spans="1:17" ht="14.25" customHeight="1" x14ac:dyDescent="0.3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</row>
    <row r="747" spans="1:17" ht="14.25" customHeight="1" x14ac:dyDescent="0.3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</row>
    <row r="748" spans="1:17" ht="14.25" customHeight="1" x14ac:dyDescent="0.3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</row>
    <row r="749" spans="1:17" ht="14.25" customHeight="1" x14ac:dyDescent="0.3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</row>
    <row r="750" spans="1:17" ht="14.25" customHeight="1" x14ac:dyDescent="0.3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</row>
    <row r="751" spans="1:17" ht="14.25" customHeight="1" x14ac:dyDescent="0.3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</row>
    <row r="752" spans="1:17" ht="14.25" customHeight="1" x14ac:dyDescent="0.3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</row>
    <row r="753" spans="1:17" ht="14.25" customHeight="1" x14ac:dyDescent="0.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</row>
    <row r="754" spans="1:17" ht="14.25" customHeight="1" x14ac:dyDescent="0.3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</row>
    <row r="755" spans="1:17" ht="14.25" customHeight="1" x14ac:dyDescent="0.3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</row>
    <row r="756" spans="1:17" ht="14.25" customHeight="1" x14ac:dyDescent="0.3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</row>
    <row r="757" spans="1:17" ht="14.25" customHeight="1" x14ac:dyDescent="0.3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</row>
    <row r="758" spans="1:17" ht="14.25" customHeight="1" x14ac:dyDescent="0.3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</row>
    <row r="759" spans="1:17" ht="14.25" customHeight="1" x14ac:dyDescent="0.3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</row>
    <row r="760" spans="1:17" ht="14.25" customHeight="1" x14ac:dyDescent="0.3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</row>
    <row r="761" spans="1:17" ht="14.25" customHeight="1" x14ac:dyDescent="0.3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</row>
    <row r="762" spans="1:17" ht="14.25" customHeight="1" x14ac:dyDescent="0.3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</row>
    <row r="763" spans="1:17" ht="14.25" customHeight="1" x14ac:dyDescent="0.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</row>
    <row r="764" spans="1:17" ht="14.25" customHeight="1" x14ac:dyDescent="0.3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</row>
    <row r="765" spans="1:17" ht="14.25" customHeight="1" x14ac:dyDescent="0.3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</row>
    <row r="766" spans="1:17" ht="14.25" customHeight="1" x14ac:dyDescent="0.3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</row>
    <row r="767" spans="1:17" ht="14.25" customHeight="1" x14ac:dyDescent="0.3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</row>
    <row r="768" spans="1:17" ht="14.25" customHeight="1" x14ac:dyDescent="0.3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</row>
    <row r="769" spans="1:17" ht="14.25" customHeight="1" x14ac:dyDescent="0.3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</row>
    <row r="770" spans="1:17" ht="14.25" customHeight="1" x14ac:dyDescent="0.3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</row>
    <row r="771" spans="1:17" ht="14.25" customHeight="1" x14ac:dyDescent="0.3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</row>
    <row r="772" spans="1:17" ht="14.25" customHeight="1" x14ac:dyDescent="0.3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</row>
    <row r="773" spans="1:17" ht="14.25" customHeight="1" x14ac:dyDescent="0.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</row>
    <row r="774" spans="1:17" ht="14.25" customHeight="1" x14ac:dyDescent="0.3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</row>
    <row r="775" spans="1:17" ht="14.25" customHeight="1" x14ac:dyDescent="0.3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</row>
    <row r="776" spans="1:17" ht="14.25" customHeight="1" x14ac:dyDescent="0.3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</row>
    <row r="777" spans="1:17" ht="14.25" customHeight="1" x14ac:dyDescent="0.3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</row>
    <row r="778" spans="1:17" ht="14.25" customHeight="1" x14ac:dyDescent="0.3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</row>
    <row r="779" spans="1:17" ht="14.25" customHeight="1" x14ac:dyDescent="0.3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</row>
    <row r="780" spans="1:17" ht="14.25" customHeight="1" x14ac:dyDescent="0.3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</row>
    <row r="781" spans="1:17" ht="14.25" customHeight="1" x14ac:dyDescent="0.3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</row>
    <row r="782" spans="1:17" ht="14.25" customHeight="1" x14ac:dyDescent="0.3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</row>
    <row r="783" spans="1:17" ht="14.25" customHeight="1" x14ac:dyDescent="0.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</row>
    <row r="784" spans="1:17" ht="14.25" customHeight="1" x14ac:dyDescent="0.3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</row>
    <row r="785" spans="1:17" ht="14.25" customHeight="1" x14ac:dyDescent="0.3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</row>
    <row r="786" spans="1:17" ht="14.25" customHeight="1" x14ac:dyDescent="0.3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</row>
    <row r="787" spans="1:17" ht="14.25" customHeight="1" x14ac:dyDescent="0.3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</row>
    <row r="788" spans="1:17" ht="14.25" customHeight="1" x14ac:dyDescent="0.3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</row>
    <row r="789" spans="1:17" ht="14.25" customHeight="1" x14ac:dyDescent="0.3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</row>
    <row r="790" spans="1:17" ht="14.25" customHeight="1" x14ac:dyDescent="0.3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</row>
    <row r="791" spans="1:17" ht="14.25" customHeight="1" x14ac:dyDescent="0.3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</row>
    <row r="792" spans="1:17" ht="14.25" customHeight="1" x14ac:dyDescent="0.3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</row>
    <row r="793" spans="1:17" ht="14.25" customHeight="1" x14ac:dyDescent="0.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</row>
    <row r="794" spans="1:17" ht="14.25" customHeight="1" x14ac:dyDescent="0.3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</row>
    <row r="795" spans="1:17" ht="14.25" customHeight="1" x14ac:dyDescent="0.3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</row>
    <row r="796" spans="1:17" ht="14.25" customHeight="1" x14ac:dyDescent="0.3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</row>
    <row r="797" spans="1:17" ht="14.25" customHeight="1" x14ac:dyDescent="0.3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</row>
    <row r="798" spans="1:17" ht="14.25" customHeight="1" x14ac:dyDescent="0.3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</row>
    <row r="799" spans="1:17" ht="14.25" customHeight="1" x14ac:dyDescent="0.3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</row>
    <row r="800" spans="1:17" ht="14.25" customHeight="1" x14ac:dyDescent="0.3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</row>
    <row r="801" spans="1:17" ht="14.25" customHeight="1" x14ac:dyDescent="0.3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</row>
    <row r="802" spans="1:17" ht="14.25" customHeight="1" x14ac:dyDescent="0.3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</row>
    <row r="803" spans="1:17" ht="14.25" customHeight="1" x14ac:dyDescent="0.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</row>
    <row r="804" spans="1:17" ht="14.25" customHeight="1" x14ac:dyDescent="0.3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</row>
    <row r="805" spans="1:17" ht="14.25" customHeight="1" x14ac:dyDescent="0.3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</row>
    <row r="806" spans="1:17" ht="14.25" customHeight="1" x14ac:dyDescent="0.3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</row>
    <row r="807" spans="1:17" ht="14.25" customHeight="1" x14ac:dyDescent="0.3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</row>
    <row r="808" spans="1:17" ht="14.25" customHeight="1" x14ac:dyDescent="0.3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</row>
    <row r="809" spans="1:17" ht="14.25" customHeight="1" x14ac:dyDescent="0.3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</row>
    <row r="810" spans="1:17" ht="14.25" customHeight="1" x14ac:dyDescent="0.3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</row>
    <row r="811" spans="1:17" ht="14.25" customHeight="1" x14ac:dyDescent="0.3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</row>
    <row r="812" spans="1:17" ht="14.25" customHeight="1" x14ac:dyDescent="0.3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</row>
    <row r="813" spans="1:17" ht="14.25" customHeight="1" x14ac:dyDescent="0.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</row>
    <row r="814" spans="1:17" ht="14.25" customHeight="1" x14ac:dyDescent="0.3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</row>
    <row r="815" spans="1:17" ht="14.25" customHeight="1" x14ac:dyDescent="0.3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</row>
    <row r="816" spans="1:17" ht="14.25" customHeight="1" x14ac:dyDescent="0.3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</row>
    <row r="817" spans="1:17" ht="14.25" customHeight="1" x14ac:dyDescent="0.3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</row>
    <row r="818" spans="1:17" ht="14.25" customHeight="1" x14ac:dyDescent="0.3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</row>
    <row r="819" spans="1:17" ht="14.25" customHeight="1" x14ac:dyDescent="0.3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</row>
    <row r="820" spans="1:17" ht="14.25" customHeight="1" x14ac:dyDescent="0.3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</row>
    <row r="821" spans="1:17" ht="14.25" customHeight="1" x14ac:dyDescent="0.3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</row>
    <row r="822" spans="1:17" ht="14.25" customHeight="1" x14ac:dyDescent="0.3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</row>
    <row r="823" spans="1:17" ht="14.25" customHeight="1" x14ac:dyDescent="0.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</row>
    <row r="824" spans="1:17" ht="14.25" customHeight="1" x14ac:dyDescent="0.3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</row>
    <row r="825" spans="1:17" ht="14.25" customHeight="1" x14ac:dyDescent="0.3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</row>
    <row r="826" spans="1:17" ht="14.25" customHeight="1" x14ac:dyDescent="0.3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</row>
    <row r="827" spans="1:17" ht="14.25" customHeight="1" x14ac:dyDescent="0.3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</row>
    <row r="828" spans="1:17" ht="14.25" customHeight="1" x14ac:dyDescent="0.3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</row>
    <row r="829" spans="1:17" ht="14.25" customHeight="1" x14ac:dyDescent="0.3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</row>
    <row r="830" spans="1:17" ht="14.25" customHeight="1" x14ac:dyDescent="0.3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</row>
    <row r="831" spans="1:17" ht="14.25" customHeight="1" x14ac:dyDescent="0.3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</row>
    <row r="832" spans="1:17" ht="14.25" customHeight="1" x14ac:dyDescent="0.3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</row>
    <row r="833" spans="1:17" ht="14.25" customHeight="1" x14ac:dyDescent="0.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</row>
    <row r="834" spans="1:17" ht="14.25" customHeight="1" x14ac:dyDescent="0.3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</row>
    <row r="835" spans="1:17" ht="14.25" customHeight="1" x14ac:dyDescent="0.3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</row>
    <row r="836" spans="1:17" ht="14.25" customHeight="1" x14ac:dyDescent="0.3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</row>
    <row r="837" spans="1:17" ht="14.25" customHeight="1" x14ac:dyDescent="0.3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</row>
    <row r="838" spans="1:17" ht="14.25" customHeight="1" x14ac:dyDescent="0.3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</row>
    <row r="839" spans="1:17" ht="14.25" customHeight="1" x14ac:dyDescent="0.3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</row>
    <row r="840" spans="1:17" ht="14.25" customHeight="1" x14ac:dyDescent="0.3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</row>
    <row r="841" spans="1:17" ht="14.25" customHeight="1" x14ac:dyDescent="0.3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</row>
    <row r="842" spans="1:17" ht="14.25" customHeight="1" x14ac:dyDescent="0.3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</row>
    <row r="843" spans="1:17" ht="14.25" customHeight="1" x14ac:dyDescent="0.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</row>
    <row r="844" spans="1:17" ht="14.25" customHeight="1" x14ac:dyDescent="0.3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</row>
    <row r="845" spans="1:17" ht="14.25" customHeight="1" x14ac:dyDescent="0.3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</row>
    <row r="846" spans="1:17" ht="14.25" customHeight="1" x14ac:dyDescent="0.3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</row>
    <row r="847" spans="1:17" ht="14.25" customHeight="1" x14ac:dyDescent="0.3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</row>
    <row r="848" spans="1:17" ht="14.25" customHeight="1" x14ac:dyDescent="0.3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</row>
    <row r="849" spans="1:17" ht="14.25" customHeight="1" x14ac:dyDescent="0.3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</row>
    <row r="850" spans="1:17" ht="14.25" customHeight="1" x14ac:dyDescent="0.3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</row>
    <row r="851" spans="1:17" ht="14.25" customHeight="1" x14ac:dyDescent="0.3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</row>
    <row r="852" spans="1:17" ht="14.25" customHeight="1" x14ac:dyDescent="0.3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</row>
    <row r="853" spans="1:17" ht="14.25" customHeight="1" x14ac:dyDescent="0.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</row>
    <row r="854" spans="1:17" ht="14.25" customHeight="1" x14ac:dyDescent="0.3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</row>
    <row r="855" spans="1:17" ht="14.25" customHeight="1" x14ac:dyDescent="0.3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</row>
    <row r="856" spans="1:17" ht="14.25" customHeight="1" x14ac:dyDescent="0.3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</row>
    <row r="857" spans="1:17" ht="14.25" customHeight="1" x14ac:dyDescent="0.3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</row>
    <row r="858" spans="1:17" ht="14.25" customHeight="1" x14ac:dyDescent="0.3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</row>
    <row r="859" spans="1:17" ht="14.25" customHeight="1" x14ac:dyDescent="0.3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</row>
    <row r="860" spans="1:17" ht="14.25" customHeight="1" x14ac:dyDescent="0.3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</row>
    <row r="861" spans="1:17" ht="14.25" customHeight="1" x14ac:dyDescent="0.3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</row>
    <row r="862" spans="1:17" ht="14.25" customHeight="1" x14ac:dyDescent="0.3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</row>
    <row r="863" spans="1:17" ht="14.25" customHeight="1" x14ac:dyDescent="0.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</row>
    <row r="864" spans="1:17" ht="14.25" customHeight="1" x14ac:dyDescent="0.3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</row>
    <row r="865" spans="1:17" ht="14.25" customHeight="1" x14ac:dyDescent="0.3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</row>
    <row r="866" spans="1:17" ht="14.25" customHeight="1" x14ac:dyDescent="0.3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</row>
    <row r="867" spans="1:17" ht="14.25" customHeight="1" x14ac:dyDescent="0.3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</row>
    <row r="868" spans="1:17" ht="14.25" customHeight="1" x14ac:dyDescent="0.3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</row>
    <row r="869" spans="1:17" ht="14.25" customHeight="1" x14ac:dyDescent="0.3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</row>
    <row r="870" spans="1:17" ht="14.25" customHeight="1" x14ac:dyDescent="0.3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</row>
    <row r="871" spans="1:17" ht="14.25" customHeight="1" x14ac:dyDescent="0.3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</row>
    <row r="872" spans="1:17" ht="14.25" customHeight="1" x14ac:dyDescent="0.3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</row>
    <row r="873" spans="1:17" ht="14.25" customHeight="1" x14ac:dyDescent="0.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</row>
    <row r="874" spans="1:17" ht="14.25" customHeight="1" x14ac:dyDescent="0.3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</row>
    <row r="875" spans="1:17" ht="14.25" customHeight="1" x14ac:dyDescent="0.3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</row>
    <row r="876" spans="1:17" ht="14.25" customHeight="1" x14ac:dyDescent="0.3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</row>
    <row r="877" spans="1:17" ht="14.25" customHeight="1" x14ac:dyDescent="0.3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</row>
    <row r="878" spans="1:17" ht="14.25" customHeight="1" x14ac:dyDescent="0.3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</row>
    <row r="879" spans="1:17" ht="14.25" customHeight="1" x14ac:dyDescent="0.3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</row>
    <row r="880" spans="1:17" ht="14.25" customHeight="1" x14ac:dyDescent="0.3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</row>
    <row r="881" spans="1:17" ht="14.25" customHeight="1" x14ac:dyDescent="0.3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</row>
    <row r="882" spans="1:17" ht="14.25" customHeight="1" x14ac:dyDescent="0.3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</row>
    <row r="883" spans="1:17" ht="14.25" customHeight="1" x14ac:dyDescent="0.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</row>
    <row r="884" spans="1:17" ht="14.25" customHeight="1" x14ac:dyDescent="0.3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</row>
    <row r="885" spans="1:17" ht="14.25" customHeight="1" x14ac:dyDescent="0.3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</row>
    <row r="886" spans="1:17" ht="14.25" customHeight="1" x14ac:dyDescent="0.3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</row>
    <row r="887" spans="1:17" ht="14.25" customHeight="1" x14ac:dyDescent="0.3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</row>
    <row r="888" spans="1:17" ht="14.25" customHeight="1" x14ac:dyDescent="0.3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</row>
    <row r="889" spans="1:17" ht="14.25" customHeight="1" x14ac:dyDescent="0.3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</row>
    <row r="890" spans="1:17" ht="14.25" customHeight="1" x14ac:dyDescent="0.3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</row>
    <row r="891" spans="1:17" ht="14.25" customHeight="1" x14ac:dyDescent="0.3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</row>
    <row r="892" spans="1:17" ht="14.25" customHeight="1" x14ac:dyDescent="0.3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</row>
    <row r="893" spans="1:17" ht="14.25" customHeight="1" x14ac:dyDescent="0.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</row>
    <row r="894" spans="1:17" ht="14.25" customHeight="1" x14ac:dyDescent="0.3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</row>
    <row r="895" spans="1:17" ht="14.25" customHeight="1" x14ac:dyDescent="0.3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</row>
    <row r="896" spans="1:17" ht="14.25" customHeight="1" x14ac:dyDescent="0.3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</row>
    <row r="897" spans="1:17" ht="14.25" customHeight="1" x14ac:dyDescent="0.3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</row>
    <row r="898" spans="1:17" ht="14.25" customHeight="1" x14ac:dyDescent="0.3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</row>
    <row r="899" spans="1:17" ht="14.25" customHeight="1" x14ac:dyDescent="0.3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</row>
    <row r="900" spans="1:17" ht="14.25" customHeight="1" x14ac:dyDescent="0.3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</row>
    <row r="901" spans="1:17" ht="14.25" customHeight="1" x14ac:dyDescent="0.3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</row>
    <row r="902" spans="1:17" ht="14.25" customHeight="1" x14ac:dyDescent="0.3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</row>
    <row r="903" spans="1:17" ht="14.25" customHeight="1" x14ac:dyDescent="0.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</row>
    <row r="904" spans="1:17" ht="14.25" customHeight="1" x14ac:dyDescent="0.3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</row>
    <row r="905" spans="1:17" ht="14.25" customHeight="1" x14ac:dyDescent="0.3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</row>
    <row r="906" spans="1:17" ht="14.25" customHeight="1" x14ac:dyDescent="0.3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</row>
    <row r="907" spans="1:17" ht="14.25" customHeight="1" x14ac:dyDescent="0.3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</row>
    <row r="908" spans="1:17" ht="14.25" customHeight="1" x14ac:dyDescent="0.3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</row>
    <row r="909" spans="1:17" ht="14.25" customHeight="1" x14ac:dyDescent="0.3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</row>
    <row r="910" spans="1:17" ht="14.25" customHeight="1" x14ac:dyDescent="0.3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</row>
    <row r="911" spans="1:17" ht="14.25" customHeight="1" x14ac:dyDescent="0.3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</row>
    <row r="912" spans="1:17" ht="14.25" customHeight="1" x14ac:dyDescent="0.3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</row>
    <row r="913" spans="1:17" ht="14.25" customHeight="1" x14ac:dyDescent="0.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</row>
    <row r="914" spans="1:17" ht="14.25" customHeight="1" x14ac:dyDescent="0.3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</row>
    <row r="915" spans="1:17" ht="14.25" customHeight="1" x14ac:dyDescent="0.3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</row>
    <row r="916" spans="1:17" ht="14.25" customHeight="1" x14ac:dyDescent="0.3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</row>
    <row r="917" spans="1:17" ht="14.25" customHeight="1" x14ac:dyDescent="0.3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</row>
    <row r="918" spans="1:17" ht="14.25" customHeight="1" x14ac:dyDescent="0.3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</row>
    <row r="919" spans="1:17" ht="14.25" customHeight="1" x14ac:dyDescent="0.3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</row>
    <row r="920" spans="1:17" ht="14.25" customHeight="1" x14ac:dyDescent="0.3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</row>
    <row r="921" spans="1:17" ht="14.25" customHeight="1" x14ac:dyDescent="0.3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</row>
    <row r="922" spans="1:17" ht="14.25" customHeight="1" x14ac:dyDescent="0.3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</row>
    <row r="923" spans="1:17" ht="14.25" customHeight="1" x14ac:dyDescent="0.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</row>
    <row r="924" spans="1:17" ht="14.25" customHeight="1" x14ac:dyDescent="0.3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</row>
    <row r="925" spans="1:17" ht="14.25" customHeight="1" x14ac:dyDescent="0.3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</row>
    <row r="926" spans="1:17" ht="14.25" customHeight="1" x14ac:dyDescent="0.3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</row>
    <row r="927" spans="1:17" ht="14.25" customHeight="1" x14ac:dyDescent="0.3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</row>
    <row r="928" spans="1:17" ht="14.25" customHeight="1" x14ac:dyDescent="0.3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</row>
    <row r="929" spans="1:17" ht="14.25" customHeight="1" x14ac:dyDescent="0.3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</row>
    <row r="930" spans="1:17" ht="14.25" customHeight="1" x14ac:dyDescent="0.3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</row>
    <row r="931" spans="1:17" ht="14.25" customHeight="1" x14ac:dyDescent="0.3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</row>
    <row r="932" spans="1:17" ht="14.25" customHeight="1" x14ac:dyDescent="0.3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</row>
    <row r="933" spans="1:17" ht="14.25" customHeight="1" x14ac:dyDescent="0.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</row>
    <row r="934" spans="1:17" ht="14.25" customHeight="1" x14ac:dyDescent="0.3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</row>
    <row r="935" spans="1:17" ht="14.25" customHeight="1" x14ac:dyDescent="0.3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</row>
    <row r="936" spans="1:17" ht="14.25" customHeight="1" x14ac:dyDescent="0.3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</row>
    <row r="937" spans="1:17" ht="14.25" customHeight="1" x14ac:dyDescent="0.3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</row>
    <row r="938" spans="1:17" ht="14.25" customHeight="1" x14ac:dyDescent="0.3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</row>
    <row r="939" spans="1:17" ht="14.25" customHeight="1" x14ac:dyDescent="0.3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</row>
    <row r="940" spans="1:17" ht="14.25" customHeight="1" x14ac:dyDescent="0.3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</row>
    <row r="941" spans="1:17" ht="14.25" customHeight="1" x14ac:dyDescent="0.3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</row>
    <row r="942" spans="1:17" ht="14.25" customHeight="1" x14ac:dyDescent="0.3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</row>
    <row r="943" spans="1:17" ht="14.25" customHeight="1" x14ac:dyDescent="0.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</row>
    <row r="944" spans="1:17" ht="14.25" customHeight="1" x14ac:dyDescent="0.3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</row>
    <row r="945" spans="1:17" ht="14.25" customHeight="1" x14ac:dyDescent="0.3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</row>
    <row r="946" spans="1:17" ht="14.25" customHeight="1" x14ac:dyDescent="0.3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</row>
    <row r="947" spans="1:17" ht="14.25" customHeight="1" x14ac:dyDescent="0.3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</row>
    <row r="948" spans="1:17" ht="14.25" customHeight="1" x14ac:dyDescent="0.3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</row>
    <row r="949" spans="1:17" ht="14.25" customHeight="1" x14ac:dyDescent="0.3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</row>
    <row r="950" spans="1:17" ht="14.25" customHeight="1" x14ac:dyDescent="0.3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</row>
    <row r="951" spans="1:17" ht="14.25" customHeight="1" x14ac:dyDescent="0.3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</row>
    <row r="952" spans="1:17" ht="14.25" customHeight="1" x14ac:dyDescent="0.3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</row>
    <row r="953" spans="1:17" ht="14.25" customHeight="1" x14ac:dyDescent="0.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</row>
    <row r="954" spans="1:17" ht="14.25" customHeight="1" x14ac:dyDescent="0.3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</row>
    <row r="955" spans="1:17" ht="14.25" customHeight="1" x14ac:dyDescent="0.3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</row>
    <row r="956" spans="1:17" ht="14.25" customHeight="1" x14ac:dyDescent="0.3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</row>
    <row r="957" spans="1:17" ht="14.25" customHeight="1" x14ac:dyDescent="0.3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</row>
    <row r="958" spans="1:17" ht="14.25" customHeight="1" x14ac:dyDescent="0.3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</row>
    <row r="959" spans="1:17" ht="14.25" customHeight="1" x14ac:dyDescent="0.3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</row>
    <row r="960" spans="1:17" ht="14.25" customHeight="1" x14ac:dyDescent="0.3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</row>
    <row r="961" spans="1:17" ht="14.25" customHeight="1" x14ac:dyDescent="0.3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</row>
    <row r="962" spans="1:17" ht="14.25" customHeight="1" x14ac:dyDescent="0.3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</row>
    <row r="963" spans="1:17" ht="14.25" customHeight="1" x14ac:dyDescent="0.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</row>
    <row r="964" spans="1:17" ht="14.25" customHeight="1" x14ac:dyDescent="0.3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</row>
    <row r="965" spans="1:17" ht="14.25" customHeight="1" x14ac:dyDescent="0.3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</row>
    <row r="966" spans="1:17" ht="14.25" customHeight="1" x14ac:dyDescent="0.3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</row>
    <row r="967" spans="1:17" ht="14.25" customHeight="1" x14ac:dyDescent="0.3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</row>
    <row r="968" spans="1:17" ht="14.25" customHeight="1" x14ac:dyDescent="0.3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</row>
    <row r="969" spans="1:17" ht="14.25" customHeight="1" x14ac:dyDescent="0.3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</row>
    <row r="970" spans="1:17" ht="14.25" customHeight="1" x14ac:dyDescent="0.3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</row>
    <row r="971" spans="1:17" ht="14.25" customHeight="1" x14ac:dyDescent="0.3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</row>
    <row r="972" spans="1:17" ht="14.25" customHeight="1" x14ac:dyDescent="0.3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</row>
    <row r="973" spans="1:17" ht="14.25" customHeight="1" x14ac:dyDescent="0.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</row>
    <row r="974" spans="1:17" ht="14.25" customHeight="1" x14ac:dyDescent="0.3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</row>
    <row r="975" spans="1:17" ht="14.25" customHeight="1" x14ac:dyDescent="0.3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</row>
    <row r="976" spans="1:17" ht="14.25" customHeight="1" x14ac:dyDescent="0.3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</row>
    <row r="977" spans="1:17" ht="14.25" customHeight="1" x14ac:dyDescent="0.3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</row>
    <row r="978" spans="1:17" ht="14.25" customHeight="1" x14ac:dyDescent="0.3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</row>
    <row r="979" spans="1:17" ht="14.25" customHeight="1" x14ac:dyDescent="0.3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</row>
    <row r="980" spans="1:17" ht="14.25" customHeight="1" x14ac:dyDescent="0.3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</row>
    <row r="981" spans="1:17" ht="14.25" customHeight="1" x14ac:dyDescent="0.3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</row>
    <row r="982" spans="1:17" ht="14.25" customHeight="1" x14ac:dyDescent="0.3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</row>
    <row r="983" spans="1:17" ht="14.25" customHeight="1" x14ac:dyDescent="0.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</row>
  </sheetData>
  <autoFilter ref="A2:E5" xr:uid="{00000000-0009-0000-0000-000006000000}">
    <sortState xmlns:xlrd2="http://schemas.microsoft.com/office/spreadsheetml/2017/richdata2" ref="A2:E5">
      <sortCondition ref="A2:A5"/>
    </sortState>
  </autoFilter>
  <phoneticPr fontId="14" type="noConversion"/>
  <hyperlinks>
    <hyperlink ref="E3" r:id="rId1" xr:uid="{16BE3295-A05C-4704-A4AB-D2C8CEE14061}"/>
    <hyperlink ref="E4:E5" r:id="rId2" display="tecnico1@correo.com" xr:uid="{F34AA581-7BB6-4F37-BEED-9E46595FD702}"/>
    <hyperlink ref="E4" r:id="rId3" xr:uid="{13CA5951-5267-42E2-BF49-24D2998AF122}"/>
    <hyperlink ref="E5" r:id="rId4" xr:uid="{E2101401-01D4-4AB1-B24B-71BC319379EF}"/>
  </hyperlinks>
  <pageMargins left="0.7" right="0.7" top="0.75" bottom="0.75" header="0" footer="0"/>
  <pageSetup fitToWidth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Marcaciones</vt:lpstr>
      <vt:lpstr>Marcaciones Reorganizadas</vt:lpstr>
      <vt:lpstr>Resumen de Asistencia</vt:lpstr>
      <vt:lpstr>Turnos</vt:lpstr>
      <vt:lpstr>Feriado</vt:lpstr>
      <vt:lpstr>Ausentismo</vt:lpstr>
      <vt:lpstr>PERSONAL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Vicente Romero Jaramillo</cp:lastModifiedBy>
  <dcterms:modified xsi:type="dcterms:W3CDTF">2025-11-03T15:29:15Z</dcterms:modified>
</cp:coreProperties>
</file>